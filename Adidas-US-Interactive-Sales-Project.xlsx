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mahdy.mahdy\Desktop\Material\Session 5\"/>
    </mc:Choice>
  </mc:AlternateContent>
  <xr:revisionPtr revIDLastSave="0" documentId="13_ncr:1_{1709DD6A-8C81-408F-ADE3-C4730A257F76}" xr6:coauthVersionLast="47" xr6:coauthVersionMax="47" xr10:uidLastSave="{00000000-0000-0000-0000-000000000000}"/>
  <bookViews>
    <workbookView xWindow="-108" yWindow="-108" windowWidth="23256" windowHeight="12456" activeTab="4" xr2:uid="{990294BF-121D-473C-BDCE-B150B17CF30C}"/>
  </bookViews>
  <sheets>
    <sheet name="Sheet1" sheetId="4" r:id="rId1"/>
    <sheet name="Sheet3" sheetId="6" r:id="rId2"/>
    <sheet name="Adidas-US-Interactive-Sales-Pro" sheetId="1" r:id="rId3"/>
    <sheet name="Pivot Tables" sheetId="2" r:id="rId4"/>
    <sheet name="Dashboard" sheetId="3" r:id="rId5"/>
  </sheets>
  <definedNames>
    <definedName name="_xlnm._FilterDatabase" localSheetId="2" hidden="1">'Adidas-US-Interactive-Sales-Pro'!$A$1:$O$1201</definedName>
    <definedName name="Slicer_Category">#N/A</definedName>
    <definedName name="Slicer_Gender">#N/A</definedName>
    <definedName name="Slicer_Product_Name">#N/A</definedName>
  </definedNames>
  <calcPr calcId="191029"/>
  <pivotCaches>
    <pivotCache cacheId="4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3" l="1"/>
  <c r="F6" i="3"/>
  <c r="L6" i="3"/>
</calcChain>
</file>

<file path=xl/sharedStrings.xml><?xml version="1.0" encoding="utf-8"?>
<sst xmlns="http://schemas.openxmlformats.org/spreadsheetml/2006/main" count="8561" uniqueCount="1272">
  <si>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</si>
  <si>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</si>
  <si>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</si>
  <si>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</si>
  <si>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</si>
  <si>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</si>
  <si>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</si>
  <si>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</si>
  <si>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</si>
  <si>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</si>
  <si>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</si>
  <si>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</si>
  <si>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</si>
  <si>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</si>
  <si>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</si>
  <si>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</si>
  <si>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</si>
  <si>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</si>
  <si>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</si>
  <si>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</si>
  <si>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</si>
  <si>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</si>
  <si>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</si>
  <si>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</si>
  <si>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</si>
  <si>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</si>
  <si>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</si>
  <si>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</si>
  <si>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</si>
  <si>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</si>
  <si>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</si>
  <si>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</si>
  <si>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</si>
  <si>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</si>
  <si>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</si>
  <si>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</si>
  <si>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</si>
  <si>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</si>
  <si>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</si>
  <si>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</si>
  <si>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</si>
  <si>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</si>
  <si>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</si>
  <si>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</si>
  <si>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</si>
  <si>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</si>
  <si>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</si>
  <si>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</si>
  <si>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</si>
  <si>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</si>
  <si>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</si>
  <si>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</si>
  <si>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</si>
  <si>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</si>
  <si>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</si>
  <si>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</si>
  <si>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</si>
  <si>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</si>
  <si>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</si>
  <si>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</si>
  <si>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</si>
  <si>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</si>
  <si>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</si>
  <si>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</si>
  <si>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</si>
  <si>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</si>
  <si>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</si>
  <si>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</si>
  <si>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</si>
  <si>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</si>
  <si>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</si>
  <si>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</si>
  <si>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</si>
  <si>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</si>
  <si>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</si>
  <si>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</si>
  <si>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</si>
  <si>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</si>
  <si>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</si>
  <si>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</si>
  <si>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</si>
  <si>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</si>
  <si>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</si>
  <si>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</si>
  <si>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</si>
  <si>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</si>
  <si>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</si>
  <si>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</si>
  <si>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</si>
  <si>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</si>
  <si>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</si>
  <si>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</si>
  <si>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</si>
  <si>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</si>
  <si>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</si>
  <si>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</si>
  <si>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</si>
  <si>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</si>
  <si>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</si>
  <si>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</si>
  <si>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</si>
  <si>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</si>
  <si>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</si>
  <si>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</si>
  <si>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</si>
  <si>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</si>
  <si>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</si>
  <si>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</si>
  <si>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</si>
  <si>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</si>
  <si>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</si>
  <si>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</si>
  <si>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</si>
  <si>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</si>
  <si>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</si>
  <si>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</si>
  <si>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</si>
  <si>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</si>
  <si>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</si>
  <si>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</si>
  <si>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</si>
  <si>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</si>
  <si>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</si>
  <si>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</si>
  <si>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</si>
  <si>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</si>
  <si>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</si>
  <si>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</si>
  <si>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</si>
  <si>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</si>
  <si>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</si>
  <si>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</si>
  <si>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</si>
  <si>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</si>
  <si>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</si>
  <si>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</si>
  <si>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</si>
  <si>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</si>
  <si>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</si>
  <si>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</si>
  <si>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</si>
  <si>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</si>
  <si>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</si>
  <si>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</si>
  <si>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</si>
  <si>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</si>
  <si>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</si>
  <si>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</si>
  <si>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</si>
  <si>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</si>
  <si>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</si>
  <si>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</si>
  <si>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</si>
  <si>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</si>
  <si>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</si>
  <si>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</si>
  <si>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</si>
  <si>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</si>
  <si>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</si>
  <si>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</si>
  <si>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</si>
  <si>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</si>
  <si>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</si>
  <si>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</si>
  <si>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</si>
  <si>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</si>
  <si>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</si>
  <si>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</si>
  <si>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</si>
  <si>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</si>
  <si>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</si>
  <si>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</si>
  <si>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</si>
  <si>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</si>
  <si>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</si>
  <si>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</si>
  <si>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</si>
  <si>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</si>
  <si>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</si>
  <si>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</si>
  <si>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</si>
  <si>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</si>
  <si>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</si>
  <si>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</si>
  <si>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</si>
  <si>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</si>
  <si>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</si>
  <si>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</si>
  <si>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</si>
  <si>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</si>
  <si>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</si>
  <si>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</si>
  <si>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</si>
  <si>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</si>
  <si>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</si>
  <si>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</si>
  <si>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</si>
  <si>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</si>
  <si>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</si>
  <si>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</si>
  <si>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</si>
  <si>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</si>
  <si>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</si>
  <si>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</si>
  <si>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</si>
  <si>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</si>
  <si>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</si>
  <si>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</si>
  <si>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</si>
  <si>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</si>
  <si>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</si>
  <si>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</si>
  <si>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</si>
  <si>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</si>
  <si>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</si>
  <si>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</si>
  <si>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</si>
  <si>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</si>
  <si>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</si>
  <si>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</si>
  <si>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</si>
  <si>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</si>
  <si>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</si>
  <si>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</si>
  <si>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</si>
  <si>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</si>
  <si>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</si>
  <si>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</si>
  <si>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</si>
  <si>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</si>
  <si>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</si>
  <si>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</si>
  <si>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</si>
  <si>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</si>
  <si>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</si>
  <si>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</si>
  <si>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</si>
  <si>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</si>
  <si>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</si>
  <si>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</si>
  <si>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</si>
  <si>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</si>
  <si>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</si>
  <si>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</si>
  <si>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</si>
  <si>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</si>
  <si>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</si>
  <si>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</si>
  <si>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</si>
  <si>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</si>
  <si>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</si>
  <si>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</si>
  <si>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</si>
  <si>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</si>
  <si>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</si>
  <si>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</si>
  <si>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</si>
  <si>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</si>
  <si>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</si>
  <si>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</si>
  <si>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</si>
  <si>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</si>
  <si>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</si>
  <si>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</si>
  <si>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</si>
  <si>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</si>
  <si>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</si>
  <si>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</si>
  <si>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</si>
  <si>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</si>
  <si>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</si>
  <si>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</si>
  <si>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</si>
  <si>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</si>
  <si>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</si>
  <si>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</si>
  <si>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</si>
  <si>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</si>
  <si>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</si>
  <si>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</si>
  <si>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</si>
  <si>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</si>
  <si>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</si>
  <si>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</si>
  <si>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</si>
  <si>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</si>
  <si>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</si>
  <si>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</si>
  <si>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</si>
  <si>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</si>
  <si>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</si>
  <si>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</si>
  <si>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</si>
  <si>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</si>
  <si>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</si>
  <si>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</si>
  <si>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</si>
  <si>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</si>
  <si>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</si>
  <si>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</si>
  <si>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</si>
  <si>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</si>
  <si>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</si>
  <si>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</si>
  <si>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</si>
  <si>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</si>
  <si>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</si>
  <si>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</si>
  <si>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</si>
  <si>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</si>
  <si>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</si>
  <si>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</si>
  <si>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</si>
  <si>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</si>
  <si>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</si>
  <si>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</si>
  <si>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</si>
  <si>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</si>
  <si>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</si>
  <si>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</si>
  <si>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</si>
  <si>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</si>
  <si>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</si>
  <si>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</si>
  <si>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</si>
  <si>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</si>
  <si>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</si>
  <si>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</si>
  <si>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</si>
  <si>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</si>
  <si>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</si>
  <si>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</si>
  <si>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</si>
  <si>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</si>
  <si>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</si>
  <si>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</si>
  <si>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</si>
  <si>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</si>
  <si>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</si>
  <si>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</si>
  <si>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</si>
  <si>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</si>
  <si>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</si>
  <si>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</si>
  <si>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</si>
  <si>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</si>
  <si>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</si>
  <si>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</si>
  <si>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</si>
  <si>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</si>
  <si>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</si>
  <si>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</si>
  <si>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</si>
  <si>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</si>
  <si>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</si>
  <si>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</si>
  <si>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</si>
  <si>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</si>
  <si>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</si>
  <si>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</si>
  <si>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</si>
  <si>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</si>
  <si>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</si>
  <si>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</si>
  <si>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</si>
  <si>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</si>
  <si>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</si>
  <si>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</si>
  <si>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</si>
  <si>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</si>
  <si>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</si>
  <si>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</si>
  <si>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</si>
  <si>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</si>
  <si>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</si>
  <si>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</si>
  <si>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</si>
  <si>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</si>
  <si>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</si>
  <si>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</si>
  <si>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</si>
  <si>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</si>
  <si>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</si>
  <si>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</si>
  <si>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</si>
  <si>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</si>
  <si>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</si>
  <si>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</si>
  <si>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</si>
  <si>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</si>
  <si>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</si>
  <si>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</si>
  <si>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</si>
  <si>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</si>
  <si>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</si>
  <si>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</si>
  <si>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</si>
  <si>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</si>
  <si>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</si>
  <si>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</si>
  <si>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</si>
  <si>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</si>
  <si>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</si>
  <si>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</si>
  <si>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</si>
  <si>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</si>
  <si>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</si>
  <si>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</si>
  <si>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</si>
  <si>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</si>
  <si>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</si>
  <si>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</si>
  <si>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</si>
  <si>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</si>
  <si>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</si>
  <si>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</si>
  <si>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</si>
  <si>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</si>
  <si>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</si>
  <si>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</si>
  <si>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</si>
  <si>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</si>
  <si>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</si>
  <si>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</si>
  <si>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</si>
  <si>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</si>
  <si>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</si>
  <si>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</si>
  <si>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</si>
  <si>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</si>
  <si>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</si>
  <si>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</si>
  <si>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</si>
  <si>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</si>
  <si>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</si>
  <si>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</si>
  <si>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</si>
  <si>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</si>
  <si>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</si>
  <si>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</si>
  <si>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</si>
  <si>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</si>
  <si>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</si>
  <si>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</si>
  <si>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</si>
  <si>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</si>
  <si>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</si>
  <si>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</si>
  <si>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</si>
  <si>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</si>
  <si>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</si>
  <si>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</si>
  <si>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</si>
  <si>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</si>
  <si>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</si>
  <si>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</si>
  <si>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</si>
  <si>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</si>
  <si>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</si>
  <si>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</si>
  <si>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</si>
  <si>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</si>
  <si>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</si>
  <si>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</si>
  <si>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</si>
  <si>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</si>
  <si>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</si>
  <si>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</si>
  <si>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</si>
  <si>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</si>
  <si>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</si>
  <si>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</si>
  <si>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</si>
  <si>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</si>
  <si>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</si>
  <si>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</si>
  <si>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</si>
  <si>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</si>
  <si>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</si>
  <si>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</si>
  <si>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</si>
  <si>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</si>
  <si>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</si>
  <si>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</si>
  <si>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</si>
  <si>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</si>
  <si>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</si>
  <si>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</si>
  <si>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</si>
  <si>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</si>
  <si>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</si>
  <si>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</si>
  <si>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</si>
  <si>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</si>
  <si>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</si>
  <si>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</si>
  <si>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</si>
  <si>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</si>
  <si>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</si>
  <si>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</si>
  <si>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</si>
  <si>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</si>
  <si>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</si>
  <si>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</si>
  <si>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</si>
  <si>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</si>
  <si>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</si>
  <si>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</si>
  <si>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</si>
  <si>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</si>
  <si>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</si>
  <si>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</si>
  <si>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</si>
  <si>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</si>
  <si>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</si>
  <si>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</si>
  <si>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</si>
  <si>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</si>
  <si>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</si>
  <si>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</si>
  <si>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</si>
  <si>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</si>
  <si>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</si>
  <si>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</si>
  <si>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</si>
  <si>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</si>
  <si>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</si>
  <si>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</si>
  <si>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</si>
  <si>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</si>
  <si>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</si>
  <si>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</si>
  <si>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</si>
  <si>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</si>
  <si>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</si>
  <si>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</si>
  <si>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</si>
  <si>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</si>
  <si>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</si>
  <si>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</si>
  <si>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</si>
  <si>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</si>
  <si>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</si>
  <si>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</si>
  <si>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</si>
  <si>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</si>
  <si>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</si>
  <si>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</si>
  <si>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</si>
  <si>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</si>
  <si>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</si>
  <si>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</si>
  <si>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</si>
  <si>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</si>
  <si>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</si>
  <si>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</si>
  <si>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</si>
  <si>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</si>
  <si>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</si>
  <si>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</si>
  <si>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</si>
  <si>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</si>
  <si>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</si>
  <si>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</si>
  <si>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</si>
  <si>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</si>
  <si>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</si>
  <si>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</si>
  <si>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</si>
  <si>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</si>
  <si>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</si>
  <si>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</si>
  <si>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</si>
  <si>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</si>
  <si>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</si>
  <si>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</si>
  <si>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</si>
  <si>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</si>
  <si>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</si>
  <si>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</si>
  <si>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</si>
  <si>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</si>
  <si>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</si>
  <si>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</si>
  <si>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</si>
  <si>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</si>
  <si>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</si>
  <si>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</si>
  <si>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</si>
  <si>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</si>
  <si>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</si>
  <si>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</si>
  <si>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</si>
  <si>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</si>
  <si>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</si>
  <si>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</si>
  <si>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</si>
  <si>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</si>
  <si>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</si>
  <si>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</si>
  <si>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</si>
  <si>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</si>
  <si>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</si>
  <si>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</si>
  <si>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</si>
  <si>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</si>
  <si>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</si>
  <si>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</si>
  <si>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</si>
  <si>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</si>
  <si>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</si>
  <si>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</si>
  <si>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</si>
  <si>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</si>
  <si>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</si>
  <si>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</si>
  <si>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</si>
  <si>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</si>
  <si>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</si>
  <si>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</si>
  <si>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</si>
  <si>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</si>
  <si>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</si>
  <si>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</si>
  <si>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</si>
  <si>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</si>
  <si>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</si>
  <si>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</si>
  <si>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</si>
  <si>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</si>
  <si>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</si>
  <si>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</si>
  <si>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</si>
  <si>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</si>
  <si>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</si>
  <si>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</si>
  <si>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</si>
  <si>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</si>
  <si>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</si>
  <si>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</si>
  <si>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</si>
  <si>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</si>
  <si>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</si>
  <si>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</si>
  <si>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</si>
  <si>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</si>
  <si>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</si>
  <si>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</si>
  <si>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</si>
  <si>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</si>
  <si>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</si>
  <si>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</si>
  <si>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</si>
  <si>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</si>
  <si>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</si>
  <si>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</si>
  <si>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</si>
  <si>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</si>
  <si>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</si>
  <si>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</si>
  <si>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</si>
  <si>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</si>
  <si>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</si>
  <si>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</si>
  <si>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</si>
  <si>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</si>
  <si>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</si>
  <si>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</si>
  <si>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</si>
  <si>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</si>
  <si>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</si>
  <si>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</si>
  <si>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</si>
  <si>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</si>
  <si>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</si>
  <si>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</si>
  <si>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</si>
  <si>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</si>
  <si>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</si>
  <si>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</si>
  <si>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</si>
  <si>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</si>
  <si>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</si>
  <si>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</si>
  <si>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</si>
  <si>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</si>
  <si>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</si>
  <si>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</si>
  <si>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</si>
  <si>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</si>
  <si>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</si>
  <si>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</si>
  <si>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</si>
  <si>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</si>
  <si>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</si>
  <si>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</si>
  <si>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</si>
  <si>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</si>
  <si>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</si>
  <si>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</si>
  <si>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</si>
  <si>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</si>
  <si>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</si>
  <si>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</si>
  <si>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</si>
  <si>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</si>
  <si>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</si>
  <si>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</si>
  <si>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</si>
  <si>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</si>
  <si>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</si>
  <si>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</si>
  <si>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</si>
  <si>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</si>
  <si>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</si>
  <si>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</si>
  <si>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</si>
  <si>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</si>
  <si>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</si>
  <si>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</si>
  <si>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</si>
  <si>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</si>
  <si>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</si>
  <si>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</si>
  <si>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</si>
  <si>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</si>
  <si>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</si>
  <si>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</si>
  <si>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</si>
  <si>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</si>
  <si>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</si>
  <si>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</si>
  <si>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</si>
  <si>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</si>
  <si>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</si>
  <si>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</si>
  <si>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</si>
  <si>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</si>
  <si>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</si>
  <si>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</si>
  <si>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</si>
  <si>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</si>
  <si>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</si>
  <si>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</si>
  <si>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</si>
  <si>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</si>
  <si>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</si>
  <si>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</si>
  <si>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</si>
  <si>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</si>
  <si>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</si>
  <si>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</si>
  <si>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</si>
  <si>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</si>
  <si>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</si>
  <si>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</si>
  <si>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</si>
  <si>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</si>
  <si>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</si>
  <si>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</si>
  <si>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</si>
  <si>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</si>
  <si>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</si>
  <si>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</si>
  <si>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</si>
  <si>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</si>
  <si>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</si>
  <si>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</si>
  <si>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</si>
  <si>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</si>
  <si>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</si>
  <si>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</si>
  <si>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</si>
  <si>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</si>
  <si>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</si>
  <si>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</si>
  <si>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</si>
  <si>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</si>
  <si>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</si>
  <si>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</si>
  <si>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</si>
  <si>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</si>
  <si>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</si>
  <si>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</si>
  <si>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</si>
  <si>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</si>
  <si>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</si>
  <si>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</si>
  <si>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</si>
  <si>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</si>
  <si>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</si>
  <si>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</si>
  <si>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</si>
  <si>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</si>
  <si>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</si>
  <si>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</si>
  <si>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</si>
  <si>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</si>
  <si>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</si>
  <si>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</si>
  <si>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</si>
  <si>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</si>
  <si>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</si>
  <si>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</si>
  <si>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</si>
  <si>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</si>
  <si>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</si>
  <si>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</si>
  <si>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</si>
  <si>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</si>
  <si>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</si>
  <si>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</si>
  <si>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</si>
  <si>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</si>
  <si>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</si>
  <si>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</si>
  <si>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</si>
  <si>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</si>
  <si>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</si>
  <si>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</si>
  <si>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</si>
  <si>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</si>
  <si>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</si>
  <si>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</si>
  <si>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</si>
  <si>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</si>
  <si>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</si>
  <si>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</si>
  <si>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</si>
  <si>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</si>
  <si>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</si>
  <si>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</si>
  <si>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</si>
  <si>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</si>
  <si>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</si>
  <si>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</si>
  <si>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</si>
  <si>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</si>
  <si>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</si>
  <si>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</si>
  <si>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</si>
  <si>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</si>
  <si>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</si>
  <si>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</si>
  <si>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</si>
  <si>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</si>
  <si>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</si>
  <si>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</si>
  <si>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</si>
  <si>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</si>
  <si>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</si>
  <si>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</si>
  <si>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</si>
  <si>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</si>
  <si>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</si>
  <si>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</si>
  <si>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</si>
  <si>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</si>
  <si>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</si>
  <si>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</si>
  <si>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</si>
  <si>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</si>
  <si>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</si>
  <si>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</si>
  <si>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</si>
  <si>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</si>
  <si>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</si>
  <si>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</si>
  <si>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</si>
  <si>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</si>
  <si>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</si>
  <si>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</si>
  <si>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</si>
  <si>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</si>
  <si>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</si>
  <si>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</si>
  <si>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</si>
  <si>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</si>
  <si>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</si>
  <si>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</si>
  <si>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</si>
  <si>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</si>
  <si>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</si>
  <si>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</si>
  <si>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</si>
  <si>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</si>
  <si>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</si>
  <si>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</si>
  <si>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</si>
  <si>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</si>
  <si>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</si>
  <si>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</si>
  <si>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</si>
  <si>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</si>
  <si>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</si>
  <si>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</si>
  <si>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</si>
  <si>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</si>
  <si>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</si>
  <si>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</si>
  <si>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</si>
  <si>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</si>
  <si>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</si>
  <si>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</si>
  <si>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</si>
  <si>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</si>
  <si>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</si>
  <si>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</si>
  <si>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</si>
  <si>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</si>
  <si>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</si>
  <si>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</si>
  <si>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</si>
  <si>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</si>
  <si>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</si>
  <si>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</si>
  <si>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</si>
  <si>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</si>
  <si>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</si>
  <si>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</si>
  <si>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</si>
  <si>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</si>
  <si>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</si>
  <si>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</si>
  <si>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</si>
  <si>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</si>
  <si>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</si>
  <si>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</si>
  <si>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</si>
  <si>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</si>
  <si>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</si>
  <si>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</si>
  <si>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</si>
  <si>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</si>
  <si>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</si>
  <si>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</si>
  <si>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</si>
  <si>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</si>
  <si>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</si>
  <si>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</si>
  <si>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</si>
  <si>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</si>
  <si>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</si>
  <si>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</si>
  <si>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</si>
  <si>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</si>
  <si>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</si>
  <si>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</si>
  <si>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</si>
  <si>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</si>
  <si>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</si>
  <si>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</si>
  <si>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</si>
  <si>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</si>
  <si>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</si>
  <si>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</si>
  <si>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</si>
  <si>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</si>
  <si>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</si>
  <si>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</si>
  <si>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</si>
  <si>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</si>
  <si>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</si>
  <si>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</si>
  <si>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</si>
  <si>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</si>
  <si>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</si>
  <si>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</si>
  <si>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</si>
  <si>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</si>
  <si>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</si>
  <si>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</si>
  <si>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</si>
  <si>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</si>
  <si>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</si>
  <si>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</si>
  <si>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</si>
  <si>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</si>
  <si>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</si>
  <si>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</si>
  <si>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</si>
  <si>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</si>
  <si>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</si>
  <si>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</si>
  <si>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</si>
  <si>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</si>
  <si>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</si>
  <si>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</si>
  <si>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</si>
  <si>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</si>
  <si>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</si>
  <si>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</si>
  <si>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</si>
  <si>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</si>
  <si>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</si>
  <si>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</si>
  <si>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</si>
  <si>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</si>
  <si>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</si>
  <si>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</si>
  <si>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</si>
  <si>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</si>
  <si>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</si>
  <si>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</si>
  <si>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</si>
  <si>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</si>
  <si>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</si>
  <si>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</si>
  <si>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</si>
  <si>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</si>
  <si>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</si>
  <si>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</si>
  <si>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</si>
  <si>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</si>
  <si>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</si>
  <si>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</si>
  <si>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</si>
  <si>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</si>
  <si>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</si>
  <si>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</si>
  <si>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</si>
  <si>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</si>
  <si>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</si>
  <si>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</si>
  <si>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</si>
  <si>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</si>
  <si>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</si>
  <si>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</si>
  <si>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</si>
  <si>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</si>
  <si>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</si>
  <si>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</si>
  <si>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</si>
  <si>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</si>
  <si>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</si>
  <si>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</si>
  <si>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</si>
  <si>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</si>
  <si>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</si>
  <si>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</si>
  <si>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</si>
  <si>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</si>
  <si>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</si>
  <si>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</si>
  <si>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</si>
  <si>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</si>
  <si>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</si>
  <si>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</si>
  <si>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</si>
  <si>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</si>
  <si>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</si>
  <si>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</si>
  <si>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</si>
  <si>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</si>
  <si>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</si>
  <si>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</si>
  <si>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</si>
  <si>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</si>
  <si>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</si>
  <si>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</si>
  <si>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</si>
  <si>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</si>
  <si>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</si>
  <si>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</si>
  <si>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</si>
  <si>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</si>
  <si>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</si>
  <si>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</si>
  <si>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</si>
  <si>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</si>
  <si>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</si>
  <si>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</si>
  <si>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</si>
  <si>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</si>
  <si>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</si>
  <si>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</si>
  <si>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</si>
  <si>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</si>
  <si>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</si>
  <si>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</si>
  <si>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</si>
  <si>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</si>
  <si>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</si>
  <si>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</si>
  <si>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</si>
  <si>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</si>
  <si>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</si>
  <si>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</si>
  <si>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</si>
  <si>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</si>
  <si>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</si>
  <si>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</si>
  <si>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</si>
  <si>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</si>
  <si>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</si>
  <si>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</si>
  <si>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</si>
  <si>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</si>
  <si>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</si>
  <si>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</si>
  <si>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</si>
  <si>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</si>
  <si>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</si>
  <si>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</si>
  <si>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</si>
  <si>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</si>
  <si>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</si>
  <si>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</si>
  <si>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</si>
  <si>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</si>
  <si>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</si>
  <si>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</si>
  <si>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</si>
  <si>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</si>
  <si>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</si>
  <si>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</si>
  <si>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</si>
  <si>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</si>
  <si>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</si>
  <si>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</si>
  <si>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</si>
  <si>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</si>
  <si>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</si>
  <si>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</si>
  <si>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</si>
  <si>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</si>
  <si>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</si>
  <si>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</si>
  <si>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</si>
  <si>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</si>
  <si>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</si>
  <si>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</si>
  <si>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</si>
  <si>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</si>
  <si>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</si>
  <si>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</si>
  <si>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</si>
  <si>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</si>
  <si>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</si>
  <si>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</si>
  <si>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</si>
  <si>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</si>
  <si>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</si>
  <si>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</si>
  <si>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</si>
  <si>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</si>
  <si>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</si>
  <si>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</si>
  <si>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</si>
  <si>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</si>
  <si>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</si>
  <si>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</si>
  <si>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</si>
  <si>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</si>
  <si>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</si>
  <si>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</si>
  <si>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</si>
  <si>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</si>
  <si>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</si>
  <si>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</si>
  <si>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</si>
  <si>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</si>
  <si>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</si>
  <si>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</si>
  <si>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</si>
  <si>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</si>
  <si>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</si>
  <si>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</si>
  <si>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</si>
  <si>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</si>
  <si>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</si>
  <si>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</si>
  <si>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</si>
  <si>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</si>
  <si>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</si>
  <si>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</si>
  <si>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</si>
  <si>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</si>
  <si>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</si>
  <si>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</si>
  <si>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</si>
  <si>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</si>
  <si>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</si>
  <si>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</si>
  <si>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</si>
  <si>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</si>
  <si>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</si>
  <si>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</si>
  <si>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</si>
  <si>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</si>
  <si>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</si>
  <si>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</si>
  <si>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</si>
  <si>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</si>
  <si>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</si>
  <si>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</si>
  <si>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</si>
  <si>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</si>
  <si>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</si>
  <si>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</si>
  <si>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</si>
  <si>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</si>
  <si>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</si>
  <si>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</si>
  <si>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</si>
  <si>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</si>
  <si>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</si>
  <si>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</si>
  <si>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</si>
  <si>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</si>
  <si>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</si>
  <si>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</si>
  <si>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</si>
  <si>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</si>
  <si>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</si>
  <si>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</si>
  <si>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</si>
  <si>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</si>
  <si>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</si>
  <si>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</si>
  <si>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</si>
  <si>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</si>
  <si>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</si>
  <si>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</si>
  <si>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</si>
  <si>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</si>
  <si>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</si>
  <si>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</si>
  <si>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</si>
  <si>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</si>
  <si>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</si>
  <si>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</si>
  <si>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</si>
  <si>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</si>
  <si>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</si>
  <si>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</si>
  <si>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</si>
  <si>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</si>
  <si>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</si>
  <si>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</si>
  <si>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</si>
  <si>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</si>
  <si>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</si>
  <si>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(blank)</t>
  </si>
  <si>
    <t>Grand Total</t>
  </si>
  <si>
    <t>2023</t>
  </si>
  <si>
    <t>Qtr1</t>
  </si>
  <si>
    <t>Jan</t>
  </si>
  <si>
    <t>Feb</t>
  </si>
  <si>
    <t>Mar</t>
  </si>
  <si>
    <t>Qtr2</t>
  </si>
  <si>
    <t>Apr</t>
  </si>
  <si>
    <t>May</t>
  </si>
  <si>
    <t>Jun</t>
  </si>
  <si>
    <t>Qtr3</t>
  </si>
  <si>
    <t>Jul</t>
  </si>
  <si>
    <t>Aug</t>
  </si>
  <si>
    <t>Sept</t>
  </si>
  <si>
    <t>Qtr4</t>
  </si>
  <si>
    <t>Oct</t>
  </si>
  <si>
    <t>Nov</t>
  </si>
  <si>
    <t>Dec</t>
  </si>
  <si>
    <t>2024</t>
  </si>
  <si>
    <t>2025</t>
  </si>
  <si>
    <t>Sum of Revenue</t>
  </si>
  <si>
    <t xml:space="preserve">Revenue By Quarter </t>
  </si>
  <si>
    <t>Sum of Profit</t>
  </si>
  <si>
    <t>Sales By Category</t>
  </si>
  <si>
    <t>Sum of Units_Sold</t>
  </si>
  <si>
    <t>Total Revenue</t>
  </si>
  <si>
    <t>Total Orders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</si>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</sst>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104862"/>
      <name val="Aptos Narrow"/>
      <scheme val="minor"/>
    </font>
    <font>
      <b/>
      <sz val="11"/>
      <color theme="1"/>
      <name val="Aptos Narrow"/>
      <scheme val="minor"/>
    </font>
    <font>
      <b/>
      <sz val="18"/>
      <color theme="4" tint="-0.249977111117893"/>
      <name val="Aptos Narrow"/>
      <family val="2"/>
      <scheme val="minor"/>
    </font>
    <font>
      <b/>
      <sz val="18"/>
      <color theme="1"/>
      <name val="Aptos Narrow"/>
      <family val="2"/>
      <scheme val="minor"/>
    </font>
    <font>
      <b/>
      <sz val="11"/>
      <color theme="4" tint="-0.249977111117893"/>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NumberFormat="1"/>
    <xf numFmtId="0" fontId="16" fillId="34" borderId="10" xfId="0" applyFont="1" applyFill="1" applyBorder="1"/>
    <xf numFmtId="1" fontId="0" fillId="0" borderId="0" xfId="0" applyNumberFormat="1"/>
    <xf numFmtId="0" fontId="18" fillId="0" borderId="0" xfId="0" applyFont="1" applyAlignment="1">
      <alignment horizontal="center" vertical="center" readingOrder="1"/>
    </xf>
    <xf numFmtId="1" fontId="16" fillId="34" borderId="10" xfId="0" applyNumberFormat="1" applyFont="1" applyFill="1" applyBorder="1"/>
    <xf numFmtId="0" fontId="19" fillId="0" borderId="0" xfId="0" applyFont="1"/>
    <xf numFmtId="0" fontId="0" fillId="35" borderId="0" xfId="0" applyFill="1"/>
    <xf numFmtId="0" fontId="20" fillId="35" borderId="0" xfId="0" applyFont="1" applyFill="1"/>
    <xf numFmtId="0" fontId="21" fillId="35" borderId="0" xfId="0" applyFont="1" applyFill="1"/>
    <xf numFmtId="0" fontId="22"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 By Quarter </a:t>
            </a:r>
          </a:p>
        </c:rich>
      </c:tx>
      <c:layout>
        <c:manualLayout>
          <c:xMode val="edge"/>
          <c:yMode val="edge"/>
          <c:x val="0.35651628652801376"/>
          <c:y val="2.3108048993875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50800" cap="rnd">
            <a:solidFill>
              <a:schemeClr val="accent1"/>
            </a:solidFill>
            <a:round/>
          </a:ln>
          <a:effectLst/>
        </c:spPr>
        <c:marker>
          <c:symbol val="square"/>
          <c:size val="3"/>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50800" cap="rnd">
            <a:solidFill>
              <a:schemeClr val="accent1"/>
            </a:solidFill>
            <a:round/>
          </a:ln>
          <a:effectLst/>
        </c:spPr>
        <c:marker>
          <c:symbol val="square"/>
          <c:size val="3"/>
          <c:spPr>
            <a:solidFill>
              <a:srgbClr val="FFC000"/>
            </a:solidFill>
            <a:ln w="9525">
              <a:solidFill>
                <a:srgbClr val="FFC000"/>
              </a:solidFill>
            </a:ln>
            <a:effectLst/>
          </c:spPr>
        </c:marker>
      </c:pivotFmt>
      <c:pivotFmt>
        <c:idx val="2"/>
        <c:spPr>
          <a:ln w="50800" cap="rnd">
            <a:solidFill>
              <a:srgbClr val="FF0000"/>
            </a:solidFill>
            <a:round/>
          </a:ln>
          <a:effectLst/>
        </c:spPr>
        <c:marker>
          <c:symbol val="square"/>
          <c:size val="3"/>
          <c:spPr>
            <a:solidFill>
              <a:srgbClr val="FFC000"/>
            </a:solidFill>
            <a:ln w="9525">
              <a:solidFill>
                <a:srgbClr val="FFC000"/>
              </a:solidFill>
            </a:ln>
            <a:effectLst/>
          </c:spPr>
        </c:marker>
      </c:pivotFmt>
      <c:pivotFmt>
        <c:idx val="3"/>
        <c:spPr>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pivotFmt>
    </c:pivotFmts>
    <c:plotArea>
      <c:layout>
        <c:manualLayout>
          <c:layoutTarget val="inner"/>
          <c:xMode val="edge"/>
          <c:yMode val="edge"/>
          <c:x val="0.15511951683476141"/>
          <c:y val="0.16609060012829477"/>
          <c:w val="0.79721864806477838"/>
          <c:h val="0.53763159813356665"/>
        </c:manualLayout>
      </c:layout>
      <c:lineChart>
        <c:grouping val="standard"/>
        <c:varyColors val="0"/>
        <c:ser>
          <c:idx val="0"/>
          <c:order val="0"/>
          <c:tx>
            <c:strRef>
              <c:f>Sheet1!$B$3</c:f>
              <c:strCache>
                <c:ptCount val="1"/>
                <c:pt idx="0">
                  <c:v>Sum of Revenue</c:v>
                </c:pt>
              </c:strCache>
            </c:strRef>
          </c:tx>
          <c:spPr>
            <a:ln w="50800" cap="rnd">
              <a:solidFill>
                <a:schemeClr val="accent1"/>
              </a:solidFill>
              <a:round/>
            </a:ln>
            <a:effectLst/>
          </c:spPr>
          <c:marker>
            <c:symbol val="square"/>
            <c:size val="3"/>
            <c:spPr>
              <a:solidFill>
                <a:srgbClr val="FFC000"/>
              </a:solidFill>
              <a:ln w="9525">
                <a:solidFill>
                  <a:srgbClr val="FFC000"/>
                </a:solidFill>
              </a:ln>
              <a:effectLst/>
            </c:spPr>
          </c:marker>
          <c:dPt>
            <c:idx val="6"/>
            <c:marker>
              <c:symbol val="square"/>
              <c:size val="3"/>
              <c:spPr>
                <a:solidFill>
                  <a:srgbClr val="FFC000"/>
                </a:solidFill>
                <a:ln w="9525">
                  <a:solidFill>
                    <a:srgbClr val="FFC000"/>
                  </a:solidFill>
                </a:ln>
                <a:effectLst/>
              </c:spPr>
            </c:marker>
            <c:bubble3D val="0"/>
            <c:spPr>
              <a:ln w="50800" cap="rnd">
                <a:solidFill>
                  <a:srgbClr val="FF0000"/>
                </a:solidFill>
                <a:round/>
              </a:ln>
              <a:effectLst/>
            </c:spPr>
            <c:extLst>
              <c:ext xmlns:c16="http://schemas.microsoft.com/office/drawing/2014/chart" uri="{C3380CC4-5D6E-409C-BE32-E72D297353CC}">
                <c16:uniqueId val="{00000003-8C64-495E-B780-5F90C5399E5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Sheet1!$A$4:$A$17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Sheet1!$B$4:$B$17</c:f>
              <c:numCache>
                <c:formatCode>0</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1"/>
          <c:extLst>
            <c:ext xmlns:c16="http://schemas.microsoft.com/office/drawing/2014/chart" uri="{C3380CC4-5D6E-409C-BE32-E72D297353CC}">
              <c16:uniqueId val="{00000000-8C64-495E-B780-5F90C5399E5D}"/>
            </c:ext>
          </c:extLst>
        </c:ser>
        <c:ser>
          <c:idx val="1"/>
          <c:order val="1"/>
          <c:tx>
            <c:strRef>
              <c:f>Sheet1!$C$3</c:f>
              <c:strCache>
                <c:ptCount val="1"/>
                <c:pt idx="0">
                  <c:v>Sum of Profit</c:v>
                </c:pt>
              </c:strCache>
            </c:strRef>
          </c:tx>
          <c:spPr>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Sheet1!$A$4:$A$17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Sheet1!$C$4:$C$17</c:f>
              <c:numCache>
                <c:formatCode>0</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0"/>
          <c:extLst>
            <c:ext xmlns:c16="http://schemas.microsoft.com/office/drawing/2014/chart" uri="{C3380CC4-5D6E-409C-BE32-E72D297353CC}">
              <c16:uniqueId val="{00000004-8C64-495E-B780-5F90C5399E5D}"/>
            </c:ext>
          </c:extLst>
        </c:ser>
        <c:dLbls>
          <c:showLegendKey val="0"/>
          <c:showVal val="0"/>
          <c:showCatName val="0"/>
          <c:showSerName val="0"/>
          <c:showPercent val="0"/>
          <c:showBubbleSize val="0"/>
        </c:dLbls>
        <c:marker val="1"/>
        <c:smooth val="0"/>
        <c:axId val="797651920"/>
        <c:axId val="797653168"/>
      </c:lineChart>
      <c:catAx>
        <c:axId val="7976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7653168"/>
        <c:crosses val="autoZero"/>
        <c:auto val="1"/>
        <c:lblAlgn val="ctr"/>
        <c:lblOffset val="100"/>
        <c:noMultiLvlLbl val="0"/>
      </c:catAx>
      <c:valAx>
        <c:axId val="797653168"/>
        <c:scaling>
          <c:orientation val="minMax"/>
        </c:scaling>
        <c:delete val="1"/>
        <c:axPos val="l"/>
        <c:numFmt formatCode="0" sourceLinked="1"/>
        <c:majorTickMark val="none"/>
        <c:minorTickMark val="none"/>
        <c:tickLblPos val="nextTo"/>
        <c:crossAx val="797651920"/>
        <c:crosses val="autoZero"/>
        <c:crossBetween val="between"/>
      </c:valAx>
      <c:spPr>
        <a:noFill/>
        <a:ln w="25400">
          <a:noFill/>
        </a:ln>
        <a:effectLst/>
      </c:spPr>
    </c:plotArea>
    <c:legend>
      <c:legendPos val="r"/>
      <c:layout>
        <c:manualLayout>
          <c:xMode val="edge"/>
          <c:yMode val="edge"/>
          <c:x val="3.8627929367885138E-3"/>
          <c:y val="0.2628575494362923"/>
          <c:w val="0.13870811140684988"/>
          <c:h val="0.403571946059864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[Adidas-US-Interactive-Sales-Project.xlsx]Sheet1!PivotTable3</c:name>
    <c:fmtId val="1"/>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a:t>
            </a:r>
          </a:p>
        </c:rich>
      </c:tx>
      <c:layout>
        <c:manualLayout>
          <c:xMode val="edge"/>
          <c:yMode val="edge"/>
          <c:x val="0.43591835331479267"/>
          <c:y val="4.9905220180810735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ln w="28575" cap="rnd">
            <a:solidFill>
              <a:schemeClr val="accent1">
                <a:alpha val="96000"/>
              </a:schemeClr>
            </a:solidFill>
            <a:round/>
          </a:ln>
          <a:effectLst/>
        </c:spPr>
        <c:marker>
          <c:symbol val="square"/>
          <c:size val="3"/>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Sheet1!$B$21</c:f>
              <c:strCache>
                <c:ptCount val="1"/>
                <c:pt idx="0">
                  <c:v>Total</c:v>
                </c:pt>
              </c:strCache>
            </c:strRef>
          </c:tx>
          <c:spPr>
            <a:ln w="28575" cap="rnd">
              <a:solidFill>
                <a:schemeClr val="accent1">
                  <a:alpha val="96000"/>
                </a:schemeClr>
              </a:solidFill>
              <a:round/>
            </a:ln>
            <a:effectLst/>
          </c:spPr>
          <c:marker>
            <c:symbol val="square"/>
            <c:size val="3"/>
            <c:spPr>
              <a:solidFill>
                <a:srgbClr val="FFC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Sheet1!$A$22:$A$68</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Qtr1</c:v>
                  </c:pt>
                  <c:pt idx="3">
                    <c:v>Qtr2</c:v>
                  </c:pt>
                  <c:pt idx="6">
                    <c:v>Qtr3</c:v>
                  </c:pt>
                  <c:pt idx="9">
                    <c:v>Qtr4</c:v>
                  </c:pt>
                  <c:pt idx="12">
                    <c:v>Qtr1</c:v>
                  </c:pt>
                  <c:pt idx="15">
                    <c:v>Qtr2</c:v>
                  </c:pt>
                  <c:pt idx="18">
                    <c:v>Qtr3</c:v>
                  </c:pt>
                  <c:pt idx="21">
                    <c:v>Qtr4</c:v>
                  </c:pt>
                  <c:pt idx="24">
                    <c:v>Qtr1</c:v>
                  </c:pt>
                  <c:pt idx="27">
                    <c:v>Qtr2</c:v>
                  </c:pt>
                  <c:pt idx="30">
                    <c:v>Qtr3</c:v>
                  </c:pt>
                </c:lvl>
                <c:lvl>
                  <c:pt idx="0">
                    <c:v>2023</c:v>
                  </c:pt>
                  <c:pt idx="12">
                    <c:v>2024</c:v>
                  </c:pt>
                  <c:pt idx="24">
                    <c:v>2025</c:v>
                  </c:pt>
                </c:lvl>
              </c:multiLvlStrCache>
            </c:multiLvlStrRef>
          </c:cat>
          <c:val>
            <c:numRef>
              <c:f>Sheet1!$B$22:$B$68</c:f>
              <c:numCache>
                <c:formatCode>0</c:formatCode>
                <c:ptCount val="33"/>
                <c:pt idx="0">
                  <c:v>8841.15</c:v>
                </c:pt>
                <c:pt idx="1">
                  <c:v>4211.32</c:v>
                </c:pt>
                <c:pt idx="2">
                  <c:v>7985.01</c:v>
                </c:pt>
                <c:pt idx="3">
                  <c:v>12515.289999999999</c:v>
                </c:pt>
                <c:pt idx="4">
                  <c:v>9064.7899999999991</c:v>
                </c:pt>
                <c:pt idx="5">
                  <c:v>7146.25</c:v>
                </c:pt>
                <c:pt idx="6">
                  <c:v>8782.35</c:v>
                </c:pt>
                <c:pt idx="7">
                  <c:v>8107.3900000000021</c:v>
                </c:pt>
                <c:pt idx="8">
                  <c:v>9372.6099999999969</c:v>
                </c:pt>
                <c:pt idx="9">
                  <c:v>12775.49</c:v>
                </c:pt>
                <c:pt idx="10">
                  <c:v>8672.510000000002</c:v>
                </c:pt>
                <c:pt idx="11">
                  <c:v>9874.27</c:v>
                </c:pt>
                <c:pt idx="12">
                  <c:v>10026.959999999999</c:v>
                </c:pt>
                <c:pt idx="13">
                  <c:v>6106.71</c:v>
                </c:pt>
                <c:pt idx="14">
                  <c:v>12667.479999999996</c:v>
                </c:pt>
                <c:pt idx="15">
                  <c:v>5660.27</c:v>
                </c:pt>
                <c:pt idx="16">
                  <c:v>11431.88</c:v>
                </c:pt>
                <c:pt idx="17">
                  <c:v>8589.02</c:v>
                </c:pt>
                <c:pt idx="18">
                  <c:v>7167.1499999999987</c:v>
                </c:pt>
                <c:pt idx="19">
                  <c:v>7369.3200000000015</c:v>
                </c:pt>
                <c:pt idx="20">
                  <c:v>7961.6099999999988</c:v>
                </c:pt>
                <c:pt idx="21">
                  <c:v>7454.29</c:v>
                </c:pt>
                <c:pt idx="22">
                  <c:v>7457.0300000000007</c:v>
                </c:pt>
                <c:pt idx="23">
                  <c:v>11338.03</c:v>
                </c:pt>
                <c:pt idx="24">
                  <c:v>7163.28</c:v>
                </c:pt>
                <c:pt idx="25">
                  <c:v>8547.43</c:v>
                </c:pt>
                <c:pt idx="26">
                  <c:v>8990.6799999999985</c:v>
                </c:pt>
                <c:pt idx="27">
                  <c:v>7592.3999999999987</c:v>
                </c:pt>
                <c:pt idx="28">
                  <c:v>9179.5999999999967</c:v>
                </c:pt>
                <c:pt idx="29">
                  <c:v>9746.06</c:v>
                </c:pt>
                <c:pt idx="30">
                  <c:v>6539.3200000000015</c:v>
                </c:pt>
                <c:pt idx="31">
                  <c:v>8158.16</c:v>
                </c:pt>
                <c:pt idx="32">
                  <c:v>10882.809999999998</c:v>
                </c:pt>
              </c:numCache>
            </c:numRef>
          </c:val>
          <c:smooth val="1"/>
          <c:extLst>
            <c:ext xmlns:c16="http://schemas.microsoft.com/office/drawing/2014/chart" uri="{C3380CC4-5D6E-409C-BE32-E72D297353CC}">
              <c16:uniqueId val="{00000000-541D-40DC-951E-EF44397E4FB8}"/>
            </c:ext>
          </c:extLst>
        </c:ser>
        <c:dLbls>
          <c:showLegendKey val="0"/>
          <c:showVal val="0"/>
          <c:showCatName val="0"/>
          <c:showSerName val="0"/>
          <c:showPercent val="0"/>
          <c:showBubbleSize val="0"/>
        </c:dLbls>
        <c:marker val="1"/>
        <c:smooth val="0"/>
        <c:axId val="792625664"/>
        <c:axId val="792628576"/>
      </c:lineChart>
      <c:catAx>
        <c:axId val="7926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2628576"/>
        <c:crosses val="autoZero"/>
        <c:auto val="1"/>
        <c:lblAlgn val="ctr"/>
        <c:lblOffset val="100"/>
        <c:noMultiLvlLbl val="0"/>
      </c:catAx>
      <c:valAx>
        <c:axId val="792628576"/>
        <c:scaling>
          <c:orientation val="minMax"/>
        </c:scaling>
        <c:delete val="1"/>
        <c:axPos val="l"/>
        <c:numFmt formatCode="0" sourceLinked="1"/>
        <c:majorTickMark val="none"/>
        <c:minorTickMark val="none"/>
        <c:tickLblPos val="nextTo"/>
        <c:crossAx val="7926256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[Adidas-US-Interactive-Sales-Project.xlsx]Sheet1!PivotTable5</c:name>
    <c:fmtId val="0"/>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Sales By Category</a:t>
            </a:r>
          </a:p>
        </c:rich>
      </c:tx>
      <c:layout>
        <c:manualLayout>
          <c:xMode val="edge"/>
          <c:yMode val="edge"/>
          <c:x val="0.29446909959788226"/>
          <c:y val="2.1475248085616912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2138938620543"/>
          <c:y val="0.20914101544104158"/>
          <c:w val="0.62205293088363955"/>
          <c:h val="0.65853091280256637"/>
        </c:manualLayout>
      </c:layout>
      <c:barChart>
        <c:barDir val="col"/>
        <c:grouping val="clustered"/>
        <c:varyColors val="0"/>
        <c:ser>
          <c:idx val="0"/>
          <c:order val="0"/>
          <c:tx>
            <c:strRef>
              <c:f>Sheet1!$S$2</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Sheet1!$R$3:$R$6</c:f>
              <c:strCache>
                <c:ptCount val="4"/>
                <c:pt idx="0">
                  <c:v>Accessories</c:v>
                </c:pt>
                <c:pt idx="1">
                  <c:v>Apparel</c:v>
                </c:pt>
                <c:pt idx="2">
                  <c:v>Footwear</c:v>
                </c:pt>
                <c:pt idx="3">
                  <c:v>(blank)</c:v>
                </c:pt>
              </c:strCache>
            </c:strRef>
          </c:cat>
          <c:val>
            <c:numRef>
              <c:f>Sheet1!$S$3:$S$6</c:f>
              <c:numCache>
                <c:formatCode>0</c:formatCode>
                <c:ptCount val="4"/>
                <c:pt idx="0">
                  <c:v>30994.470000000016</c:v>
                </c:pt>
                <c:pt idx="1">
                  <c:v>77377.83000000006</c:v>
                </c:pt>
                <c:pt idx="2">
                  <c:v>179005.61999999988</c:v>
                </c:pt>
              </c:numCache>
            </c:numRef>
          </c:val>
          <c:extLst>
            <c:ext xmlns:c16="http://schemas.microsoft.com/office/drawing/2014/chart" uri="{C3380CC4-5D6E-409C-BE32-E72D297353CC}">
              <c16:uniqueId val="{00000000-60D0-4A68-B8C3-AB6F38931493}"/>
            </c:ext>
          </c:extLst>
        </c:ser>
        <c:ser>
          <c:idx val="1"/>
          <c:order val="1"/>
          <c:tx>
            <c:strRef>
              <c:f>Sheet1!$T$2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Sheet1!$R$3:$R$6</c:f>
              <c:strCache>
                <c:ptCount val="4"/>
                <c:pt idx="0">
                  <c:v>Accessories</c:v>
                </c:pt>
                <c:pt idx="1">
                  <c:v>Apparel</c:v>
                </c:pt>
                <c:pt idx="2">
                  <c:v>Footwear</c:v>
                </c:pt>
                <c:pt idx="3">
                  <c:v>(blank)</c:v>
                </c:pt>
              </c:strCache>
            </c:strRef>
          </c:cat>
          <c:val>
            <c:numRef>
              <c:f>Sheet1!$T$3:$T$6</c:f>
              <c:numCache>
                <c:formatCode>0</c:formatCode>
                <c:ptCount val="4"/>
                <c:pt idx="0">
                  <c:v>10185.759999999998</c:v>
                </c:pt>
                <c:pt idx="1">
                  <c:v>22056.459999999981</c:v>
                </c:pt>
                <c:pt idx="2">
                  <c:v>52827.629999999939</c:v>
                </c:pt>
              </c:numCache>
            </c:numRef>
          </c:val>
          <c:extLst>
            <c:ext xmlns:c16="http://schemas.microsoft.com/office/drawing/2014/chart" uri="{C3380CC4-5D6E-409C-BE32-E72D297353CC}">
              <c16:uniqueId val="{00000001-60D0-4A68-B8C3-AB6F38931493}"/>
            </c:ext>
          </c:extLst>
        </c:ser>
        <c:dLbls>
          <c:showLegendKey val="0"/>
          <c:showVal val="0"/>
          <c:showCatName val="0"/>
          <c:showSerName val="0"/>
          <c:showPercent val="0"/>
          <c:showBubbleSize val="0"/>
        </c:dLbls>
        <c:gapWidth val="219"/>
        <c:overlap val="-27"/>
        <c:axId val="1426689024"/>
        <c:axId val="1426687360"/>
      </c:barChart>
      <c:catAx>
        <c:axId val="14266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687360"/>
        <c:crosses val="autoZero"/>
        <c:auto val="1"/>
        <c:lblAlgn val="ctr"/>
        <c:lblOffset val="100"/>
        <c:noMultiLvlLbl val="0"/>
      </c:catAx>
      <c:valAx>
        <c:axId val="1426687360"/>
        <c:scaling>
          <c:orientation val="minMax"/>
        </c:scaling>
        <c:delete val="1"/>
        <c:axPos val="l"/>
        <c:numFmt formatCode="0" sourceLinked="1"/>
        <c:majorTickMark val="none"/>
        <c:minorTickMark val="none"/>
        <c:tickLblPos val="nextTo"/>
        <c:crossAx val="1426689024"/>
        <c:crosses val="autoZero"/>
        <c:crossBetween val="between"/>
      </c:valAx>
      <c:spPr>
        <a:noFill/>
        <a:ln>
          <a:noFill/>
        </a:ln>
        <a:effectLst/>
      </c:spPr>
    </c:plotArea>
    <c:legend>
      <c:legendPos val="r"/>
      <c:layout>
        <c:manualLayout>
          <c:xMode val="edge"/>
          <c:yMode val="edge"/>
          <c:x val="1.4055352670838709E-2"/>
          <c:y val="2.8215009507447399E-2"/>
          <c:w val="0.23154844912869443"/>
          <c:h val="0.213894979734699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[Adidas-US-Interactive-Sales-Project.xlsx]Sheet1!PivotTable6</c:name>
    <c:fmtId val="0"/>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Sheet1!$V$3:$V$23</c:f>
              <c:strCache>
                <c:ptCount val="21"/>
                <c:pt idx="0">
                  <c:v>(blank)</c:v>
                </c:pt>
                <c:pt idx="1">
                  <c:v>Sports Bottle</c:v>
                </c:pt>
                <c:pt idx="2">
                  <c:v>Essentials Tee</c:v>
                </c:pt>
                <c:pt idx="3">
                  <c:v>Performance Socks (3-pack)</c:v>
                </c:pt>
                <c:pt idx="4">
                  <c:v>Gym Bag</c:v>
                </c:pt>
                <c:pt idx="5">
                  <c:v>Training Cap</c:v>
                </c:pt>
                <c:pt idx="6">
                  <c:v>Training Shorts</c:v>
                </c:pt>
                <c:pt idx="7">
                  <c:v>Adilette Slides</c:v>
                </c:pt>
                <c:pt idx="8">
                  <c:v>Running Watch Strap</c:v>
                </c:pt>
                <c:pt idx="9">
                  <c:v>Tiro 23 Track Pants</c:v>
                </c:pt>
                <c:pt idx="10">
                  <c:v>Adicolor Hoodie</c:v>
                </c:pt>
                <c:pt idx="11">
                  <c:v>Originals Backpack</c:v>
                </c:pt>
                <c:pt idx="12">
                  <c:v>Stan Smith</c:v>
                </c:pt>
                <c:pt idx="13">
                  <c:v>Superstar</c:v>
                </c:pt>
                <c:pt idx="14">
                  <c:v>NMD_R1</c:v>
                </c:pt>
                <c:pt idx="15">
                  <c:v>Z.N.E. Hoodie</c:v>
                </c:pt>
                <c:pt idx="16">
                  <c:v>Ultraboost 22</c:v>
                </c:pt>
                <c:pt idx="17">
                  <c:v>Copa Sense</c:v>
                </c:pt>
                <c:pt idx="18">
                  <c:v>Primegreen Jacket</c:v>
                </c:pt>
                <c:pt idx="19">
                  <c:v>Ultraboost Light</c:v>
                </c:pt>
                <c:pt idx="20">
                  <c:v>Predator Freak</c:v>
                </c:pt>
              </c:strCache>
            </c:strRef>
          </c:cat>
          <c:val>
            <c:numRef>
              <c:f>Sheet1!$W$3:$W$23</c:f>
              <c:numCache>
                <c:formatCode>0</c:formatCode>
                <c:ptCount val="21"/>
                <c:pt idx="1">
                  <c:v>2581.6100000000006</c:v>
                </c:pt>
                <c:pt idx="2">
                  <c:v>3033.2400000000016</c:v>
                </c:pt>
                <c:pt idx="3">
                  <c:v>3339.7099999999996</c:v>
                </c:pt>
                <c:pt idx="4">
                  <c:v>3971.5299999999997</c:v>
                </c:pt>
                <c:pt idx="5">
                  <c:v>3972.639999999999</c:v>
                </c:pt>
                <c:pt idx="6">
                  <c:v>4828.4700000000012</c:v>
                </c:pt>
                <c:pt idx="7">
                  <c:v>5753.0799999999981</c:v>
                </c:pt>
                <c:pt idx="8">
                  <c:v>6956.86</c:v>
                </c:pt>
                <c:pt idx="9">
                  <c:v>7427.3499999999976</c:v>
                </c:pt>
                <c:pt idx="10">
                  <c:v>10080.65</c:v>
                </c:pt>
                <c:pt idx="11">
                  <c:v>10172.119999999999</c:v>
                </c:pt>
                <c:pt idx="12">
                  <c:v>19473.910000000003</c:v>
                </c:pt>
                <c:pt idx="13">
                  <c:v>19507.310000000009</c:v>
                </c:pt>
                <c:pt idx="14">
                  <c:v>19746.080000000002</c:v>
                </c:pt>
                <c:pt idx="15">
                  <c:v>24288.029999999995</c:v>
                </c:pt>
                <c:pt idx="16">
                  <c:v>25555.620000000006</c:v>
                </c:pt>
                <c:pt idx="17">
                  <c:v>27178.44999999999</c:v>
                </c:pt>
                <c:pt idx="18">
                  <c:v>27720.090000000015</c:v>
                </c:pt>
                <c:pt idx="19">
                  <c:v>30192.089999999997</c:v>
                </c:pt>
                <c:pt idx="20">
                  <c:v>31599.08</c:v>
                </c:pt>
              </c:numCache>
            </c:numRef>
          </c:val>
          <c:extLst>
            <c:ext xmlns:c16="http://schemas.microsoft.com/office/drawing/2014/chart" uri="{C3380CC4-5D6E-409C-BE32-E72D297353CC}">
              <c16:uniqueId val="{00000000-B26E-45CE-940A-24FAEAA790A4}"/>
            </c:ext>
          </c:extLst>
        </c:ser>
        <c:dLbls>
          <c:dLblPos val="outEnd"/>
          <c:showLegendKey val="0"/>
          <c:showVal val="1"/>
          <c:showCatName val="0"/>
          <c:showSerName val="0"/>
          <c:showPercent val="0"/>
          <c:showBubbleSize val="0"/>
        </c:dLbls>
        <c:gapWidth val="219"/>
        <c:axId val="940480656"/>
        <c:axId val="940483152"/>
      </c:barChart>
      <c:catAx>
        <c:axId val="94048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0483152"/>
        <c:crosses val="autoZero"/>
        <c:auto val="1"/>
        <c:lblAlgn val="ctr"/>
        <c:lblOffset val="100"/>
        <c:noMultiLvlLbl val="0"/>
      </c:catAx>
      <c:valAx>
        <c:axId val="940483152"/>
        <c:scaling>
          <c:orientation val="minMax"/>
        </c:scaling>
        <c:delete val="1"/>
        <c:axPos val="b"/>
        <c:numFmt formatCode="0" sourceLinked="1"/>
        <c:majorTickMark val="none"/>
        <c:minorTickMark val="none"/>
        <c:tickLblPos val="nextTo"/>
        <c:crossAx val="94048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[Adidas-US-Interactive-Sales-Project.xlsx]Sheet1!PivotTable7</c:name>
    <c:fmtId val="0"/>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1905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tx2">
                <a:lumMod val="50000"/>
                <a:lumOff val="50000"/>
              </a:schemeClr>
            </a:solidFill>
          </a:ln>
          <a:effectLst/>
        </c:spPr>
      </c:pivotFmt>
      <c:pivotFmt>
        <c:idx val="2"/>
        <c:spPr>
          <a:solidFill>
            <a:schemeClr val="tx2">
              <a:lumMod val="50000"/>
              <a:lumOff val="50000"/>
            </a:schemeClr>
          </a:solidFill>
          <a:ln w="19050">
            <a:solidFill>
              <a:schemeClr val="tx2">
                <a:lumMod val="75000"/>
                <a:lumOff val="25000"/>
              </a:schemeClr>
            </a:solidFill>
          </a:ln>
          <a:effectLst/>
        </c:spPr>
      </c:pivotFmt>
      <c:pivotFmt>
        <c:idx val="3"/>
        <c:spPr>
          <a:solidFill>
            <a:schemeClr val="tx2">
              <a:lumMod val="25000"/>
              <a:lumOff val="75000"/>
            </a:schemeClr>
          </a:solidFill>
          <a:ln w="19050">
            <a:solidFill>
              <a:schemeClr val="tx2">
                <a:lumMod val="75000"/>
                <a:lumOff val="25000"/>
              </a:schemeClr>
            </a:solidFill>
          </a:ln>
          <a:effectLst/>
        </c:spPr>
      </c:pivotFmt>
      <c:pivotFmt>
        <c:idx val="4"/>
        <c:spPr>
          <a:solidFill>
            <a:schemeClr val="tx2">
              <a:lumMod val="10000"/>
              <a:lumOff val="90000"/>
            </a:schemeClr>
          </a:solidFill>
          <a:ln w="19050">
            <a:solidFill>
              <a:schemeClr val="tx2">
                <a:lumMod val="75000"/>
                <a:lumOff val="25000"/>
              </a:schemeClr>
            </a:solidFill>
          </a:ln>
          <a:effectLst/>
        </c:spPr>
      </c:pivotFmt>
      <c:pivotFmt>
        <c:idx val="5"/>
        <c:spPr>
          <a:solidFill>
            <a:schemeClr val="accent1"/>
          </a:solidFill>
          <a:ln w="19050">
            <a:solidFill>
              <a:schemeClr val="tx2">
                <a:lumMod val="75000"/>
                <a:lumOff val="2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7617736138847215"/>
          <c:y val="0.20977181695834918"/>
          <c:w val="0.46937473069878444"/>
          <c:h val="0.73302210041692684"/>
        </c:manualLayout>
      </c:layout>
      <c:pieChart>
        <c:varyColors val="1"/>
        <c:ser>
          <c:idx val="0"/>
          <c:order val="0"/>
          <c:tx>
            <c:strRef>
              <c:f>Sheet1!$AC$2</c:f>
              <c:strCache>
                <c:ptCount val="1"/>
                <c:pt idx="0">
                  <c:v>Total</c:v>
                </c:pt>
              </c:strCache>
            </c:strRef>
          </c:tx>
          <c:spPr>
            <a:ln>
              <a:solidFill>
                <a:schemeClr val="tx2">
                  <a:lumMod val="75000"/>
                  <a:lumOff val="25000"/>
                </a:schemeClr>
              </a:solidFill>
            </a:ln>
          </c:spPr>
          <c:explosion val="6"/>
          <c:dPt>
            <c:idx val="0"/>
            <c:bubble3D val="0"/>
            <c:spPr>
              <a:solidFill>
                <a:schemeClr val="accent1"/>
              </a:solidFill>
              <a:ln w="19050">
                <a:solidFill>
                  <a:schemeClr val="tx2">
                    <a:lumMod val="75000"/>
                    <a:lumOff val="25000"/>
                  </a:schemeClr>
                </a:solidFill>
              </a:ln>
              <a:effectLst/>
            </c:spPr>
            <c:extLst>
              <c:ext xmlns:c16="http://schemas.microsoft.com/office/drawing/2014/chart" uri="{C3380CC4-5D6E-409C-BE32-E72D297353CC}">
                <c16:uniqueId val="{00000006-6123-4FE1-9E0E-9B76B9B0E386}"/>
              </c:ext>
            </c:extLst>
          </c:dPt>
          <c:dPt>
            <c:idx val="1"/>
            <c:bubble3D val="0"/>
            <c:spPr>
              <a:solidFill>
                <a:schemeClr val="tx2">
                  <a:lumMod val="50000"/>
                  <a:lumOff val="50000"/>
                </a:schemeClr>
              </a:solidFill>
              <a:ln w="19050">
                <a:solidFill>
                  <a:schemeClr val="tx2">
                    <a:lumMod val="50000"/>
                    <a:lumOff val="50000"/>
                  </a:schemeClr>
                </a:solidFill>
              </a:ln>
              <a:effectLst/>
            </c:spPr>
            <c:extLst>
              <c:ext xmlns:c16="http://schemas.microsoft.com/office/drawing/2014/chart" uri="{C3380CC4-5D6E-409C-BE32-E72D297353CC}">
                <c16:uniqueId val="{00000002-6123-4FE1-9E0E-9B76B9B0E386}"/>
              </c:ext>
            </c:extLst>
          </c:dPt>
          <c:dPt>
            <c:idx val="2"/>
            <c:bubble3D val="0"/>
            <c:spPr>
              <a:solidFill>
                <a:schemeClr val="tx2">
                  <a:lumMod val="25000"/>
                  <a:lumOff val="75000"/>
                </a:schemeClr>
              </a:solidFill>
              <a:ln w="19050">
                <a:solidFill>
                  <a:schemeClr val="tx2">
                    <a:lumMod val="75000"/>
                    <a:lumOff val="25000"/>
                  </a:schemeClr>
                </a:solidFill>
              </a:ln>
              <a:effectLst/>
            </c:spPr>
            <c:extLst>
              <c:ext xmlns:c16="http://schemas.microsoft.com/office/drawing/2014/chart" uri="{C3380CC4-5D6E-409C-BE32-E72D297353CC}">
                <c16:uniqueId val="{00000004-6123-4FE1-9E0E-9B76B9B0E386}"/>
              </c:ext>
            </c:extLst>
          </c:dPt>
          <c:dPt>
            <c:idx val="3"/>
            <c:bubble3D val="0"/>
            <c:spPr>
              <a:solidFill>
                <a:schemeClr val="tx2">
                  <a:lumMod val="10000"/>
                  <a:lumOff val="90000"/>
                </a:schemeClr>
              </a:solidFill>
              <a:ln w="19050">
                <a:solidFill>
                  <a:schemeClr val="tx2">
                    <a:lumMod val="75000"/>
                    <a:lumOff val="25000"/>
                  </a:schemeClr>
                </a:solidFill>
              </a:ln>
              <a:effectLst/>
            </c:spPr>
            <c:extLst>
              <c:ext xmlns:c16="http://schemas.microsoft.com/office/drawing/2014/chart" uri="{C3380CC4-5D6E-409C-BE32-E72D297353CC}">
                <c16:uniqueId val="{00000005-6123-4FE1-9E0E-9B76B9B0E386}"/>
              </c:ext>
            </c:extLst>
          </c:dPt>
          <c:dPt>
            <c:idx val="4"/>
            <c:bubble3D val="0"/>
            <c:spPr>
              <a:solidFill>
                <a:schemeClr val="tx2">
                  <a:lumMod val="50000"/>
                  <a:lumOff val="50000"/>
                </a:schemeClr>
              </a:solidFill>
              <a:ln w="19050">
                <a:solidFill>
                  <a:schemeClr val="tx2">
                    <a:lumMod val="75000"/>
                    <a:lumOff val="25000"/>
                  </a:schemeClr>
                </a:solidFill>
              </a:ln>
              <a:effectLst/>
            </c:spPr>
            <c:extLst>
              <c:ext xmlns:c16="http://schemas.microsoft.com/office/drawing/2014/chart" uri="{C3380CC4-5D6E-409C-BE32-E72D297353CC}">
                <c16:uniqueId val="{00000003-6123-4FE1-9E0E-9B76B9B0E386}"/>
              </c:ext>
            </c:extLst>
          </c:dPt>
          <c:dLbls>
            <c:dLbl>
              <c:idx val="0"/>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6-6123-4FE1-9E0E-9B76B9B0E38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Sheet1!$AB$3:$AB$7</c:f>
              <c:strCache>
                <c:ptCount val="5"/>
                <c:pt idx="0">
                  <c:v>Egypt</c:v>
                </c:pt>
                <c:pt idx="1">
                  <c:v>Iraq</c:v>
                </c:pt>
                <c:pt idx="2">
                  <c:v>KSA</c:v>
                </c:pt>
                <c:pt idx="3">
                  <c:v>Lebanon</c:v>
                </c:pt>
                <c:pt idx="4">
                  <c:v>Oman</c:v>
                </c:pt>
              </c:strCache>
            </c:strRef>
          </c:cat>
          <c:val>
            <c:numRef>
              <c:f>Sheet1!$AC$3:$AC$7</c:f>
              <c:numCache>
                <c:formatCode>0</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0-6123-4FE1-9E0E-9B76B9B0E386}"/>
            </c:ext>
          </c:extLst>
        </c:ser>
        <c:dLbls>
          <c:showLegendKey val="0"/>
          <c:showVal val="0"/>
          <c:showCatName val="0"/>
          <c:showSerName val="0"/>
          <c:showPercent val="0"/>
          <c:showBubbleSize val="0"/>
          <c:showLeaderLines val="1"/>
        </c:dLbls>
        <c:firstSliceAng val="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[Adidas-US-Interactive-Sales-Project.xlsx]Sheet1!PivotTable10</c:name>
    <c:fmtId val="0"/>
  </c:pivotSource>
  <c:chart>
    <c:title>
      <c:tx>
        <c:rich>
          <a:bodyPr rot="0" spcFirstLastPara="1" vertOverflow="ellipsis" vert="horz" wrap="square" anchor="ctr" anchorCtr="1"/>
          <a:lstStyle/>
          <a:p>
            <a:pPr>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 by Store Type</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tx2">
              <a:lumMod val="25000"/>
              <a:lumOff val="75000"/>
            </a:schemeClr>
          </a:solidFill>
          <a:ln w="19050">
            <a:solidFill>
              <a:schemeClr val="lt1"/>
            </a:solidFill>
          </a:ln>
          <a:effectLst/>
        </c:spPr>
      </c:pivotFmt>
      <c:pivotFmt>
        <c:idx val="3"/>
        <c:spPr>
          <a:solidFill>
            <a:schemeClr val="tx2">
              <a:lumMod val="10000"/>
              <a:lumOff val="90000"/>
            </a:schemeClr>
          </a:solidFill>
          <a:ln w="19050">
            <a:solidFill>
              <a:schemeClr val="lt1"/>
            </a:solidFill>
          </a:ln>
          <a:effectLst/>
        </c:spPr>
      </c:pivotFmt>
      <c:pivotFmt>
        <c:idx val="4"/>
        <c:spPr>
          <a:solidFill>
            <a:schemeClr val="tx2">
              <a:lumMod val="25000"/>
              <a:lumOff val="75000"/>
            </a:schemeClr>
          </a:solidFill>
          <a:ln w="19050">
            <a:solidFill>
              <a:schemeClr val="lt1"/>
            </a:solidFill>
          </a:ln>
          <a:effectLst/>
        </c:spPr>
      </c:pivotFmt>
    </c:pivotFmts>
    <c:plotArea>
      <c:layout/>
      <c:doughnutChart>
        <c:varyColors val="1"/>
        <c:ser>
          <c:idx val="0"/>
          <c:order val="0"/>
          <c:tx>
            <c:strRef>
              <c:f>Sheet1!$AG$2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804-4BC2-B0C3-75E6173F166C}"/>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E804-4BC2-B0C3-75E6173F166C}"/>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E804-4BC2-B0C3-75E6173F166C}"/>
              </c:ext>
            </c:extLst>
          </c:dPt>
          <c:dPt>
            <c:idx val="3"/>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4-E804-4BC2-B0C3-75E6173F16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Sheet1!$AF$3:$AF$6</c:f>
              <c:strCache>
                <c:ptCount val="4"/>
                <c:pt idx="0">
                  <c:v>Online</c:v>
                </c:pt>
                <c:pt idx="1">
                  <c:v>Outlet</c:v>
                </c:pt>
                <c:pt idx="2">
                  <c:v>Retail</c:v>
                </c:pt>
                <c:pt idx="3">
                  <c:v>Wholesale</c:v>
                </c:pt>
              </c:strCache>
            </c:strRef>
          </c:cat>
          <c:val>
            <c:numRef>
              <c:f>Sheet1!$AG$3:$AG$6</c:f>
              <c:numCache>
                <c:formatCode>0</c:formatCode>
                <c:ptCount val="4"/>
                <c:pt idx="0">
                  <c:v>133207.11999999997</c:v>
                </c:pt>
                <c:pt idx="1">
                  <c:v>33516.269999999997</c:v>
                </c:pt>
                <c:pt idx="2">
                  <c:v>102147.07999999997</c:v>
                </c:pt>
                <c:pt idx="3">
                  <c:v>18507.449999999997</c:v>
                </c:pt>
              </c:numCache>
            </c:numRef>
          </c:val>
          <c:extLst>
            <c:ext xmlns:c16="http://schemas.microsoft.com/office/drawing/2014/chart" uri="{C3380CC4-5D6E-409C-BE32-E72D297353CC}">
              <c16:uniqueId val="{00000000-E804-4BC2-B0C3-75E6173F166C}"/>
            </c:ext>
          </c:extLst>
        </c:ser>
        <c:dLbls>
          <c:showLegendKey val="0"/>
          <c:showVal val="1"/>
          <c:showCatName val="0"/>
          <c:showSerName val="0"/>
          <c:showPercent val="0"/>
          <c:showBubbleSize val="0"/>
          <c:showLeaderLines val="1"/>
        </c:dLbls>
        <c:firstSliceAng val="4"/>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Payment Method Analysis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lotArea>
      <c:layout>
        <c:manualLayout>
          <c:layoutTarget val="inner"/>
          <c:xMode val="edge"/>
          <c:yMode val="edge"/>
          <c:x val="2.6481628891248603E-2"/>
          <c:y val="0.16318091524089381"/>
          <c:w val="0.95145034703271092"/>
          <c:h val="0.7196382244436511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Sheet1!$AK$3:$AK$10</c:f>
              <c:strCache>
                <c:ptCount val="8"/>
                <c:pt idx="0">
                  <c:v>PayPal</c:v>
                </c:pt>
                <c:pt idx="1">
                  <c:v>NetBanking</c:v>
                </c:pt>
                <c:pt idx="2">
                  <c:v>Apple Pay</c:v>
                </c:pt>
                <c:pt idx="3">
                  <c:v>Debit Card</c:v>
                </c:pt>
                <c:pt idx="4">
                  <c:v>UPI</c:v>
                </c:pt>
                <c:pt idx="5">
                  <c:v>Cash</c:v>
                </c:pt>
                <c:pt idx="6">
                  <c:v>Credit Card</c:v>
                </c:pt>
                <c:pt idx="7">
                  <c:v>Google Pay</c:v>
                </c:pt>
              </c:strCache>
            </c:strRef>
          </c:cat>
          <c:val>
            <c:numRef>
              <c:f>Sheet1!$AL$3:$AL$10</c:f>
              <c:numCache>
                <c:formatCode>0</c:formatCode>
                <c:ptCount val="8"/>
                <c:pt idx="0">
                  <c:v>42348.679999999993</c:v>
                </c:pt>
                <c:pt idx="1">
                  <c:v>39117.770000000004</c:v>
                </c:pt>
                <c:pt idx="2">
                  <c:v>38598.590000000004</c:v>
                </c:pt>
                <c:pt idx="3">
                  <c:v>38181.170000000006</c:v>
                </c:pt>
                <c:pt idx="4">
                  <c:v>35369.94</c:v>
                </c:pt>
                <c:pt idx="5">
                  <c:v>33175.260000000009</c:v>
                </c:pt>
                <c:pt idx="6">
                  <c:v>32106.239999999987</c:v>
                </c:pt>
                <c:pt idx="7">
                  <c:v>28480.27</c:v>
                </c:pt>
              </c:numCache>
            </c:numRef>
          </c:val>
          <c:extLst>
            <c:ext xmlns:c16="http://schemas.microsoft.com/office/drawing/2014/chart" uri="{C3380CC4-5D6E-409C-BE32-E72D297353CC}">
              <c16:uniqueId val="{00000000-74AB-451C-BD2C-4ACA3A7397E0}"/>
            </c:ext>
          </c:extLst>
        </c:ser>
        <c:dLbls>
          <c:dLblPos val="outEnd"/>
          <c:showLegendKey val="0"/>
          <c:showVal val="1"/>
          <c:showCatName val="0"/>
          <c:showSerName val="0"/>
          <c:showPercent val="0"/>
          <c:showBubbleSize val="0"/>
        </c:dLbls>
        <c:gapWidth val="219"/>
        <c:overlap val="-27"/>
        <c:axId val="1422656032"/>
        <c:axId val="1422672672"/>
      </c:barChart>
      <c:catAx>
        <c:axId val="14226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422672672"/>
        <c:crosses val="autoZero"/>
        <c:auto val="1"/>
        <c:lblAlgn val="ctr"/>
        <c:lblOffset val="100"/>
        <c:noMultiLvlLbl val="0"/>
      </c:catAx>
      <c:valAx>
        <c:axId val="1422672672"/>
        <c:scaling>
          <c:orientation val="minMax"/>
        </c:scaling>
        <c:delete val="1"/>
        <c:axPos val="l"/>
        <c:numFmt formatCode="0" sourceLinked="1"/>
        <c:majorTickMark val="none"/>
        <c:minorTickMark val="none"/>
        <c:tickLblPos val="nextTo"/>
        <c:crossAx val="142265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[Adidas-US-Interactive-Sales-Project.xlsx]Sheet1!PivotTable7</c:name>
    <c:fmtId val="3"/>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 By Region</a:t>
            </a:r>
          </a:p>
        </c:rich>
      </c:tx>
      <c:layout>
        <c:manualLayout>
          <c:xMode val="edge"/>
          <c:yMode val="edge"/>
          <c:x val="0.23118074150602019"/>
          <c:y val="0"/>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1905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tx2">
                <a:lumMod val="50000"/>
                <a:lumOff val="50000"/>
              </a:schemeClr>
            </a:solidFill>
          </a:ln>
          <a:effectLst/>
        </c:spPr>
      </c:pivotFmt>
      <c:pivotFmt>
        <c:idx val="2"/>
        <c:spPr>
          <a:solidFill>
            <a:schemeClr val="tx2">
              <a:lumMod val="50000"/>
              <a:lumOff val="50000"/>
            </a:schemeClr>
          </a:solidFill>
          <a:ln w="19050">
            <a:solidFill>
              <a:schemeClr val="tx2">
                <a:lumMod val="75000"/>
                <a:lumOff val="25000"/>
              </a:schemeClr>
            </a:solidFill>
          </a:ln>
          <a:effectLst/>
        </c:spPr>
      </c:pivotFmt>
      <c:pivotFmt>
        <c:idx val="3"/>
        <c:spPr>
          <a:solidFill>
            <a:schemeClr val="tx2">
              <a:lumMod val="25000"/>
              <a:lumOff val="75000"/>
            </a:schemeClr>
          </a:solidFill>
          <a:ln w="19050">
            <a:solidFill>
              <a:schemeClr val="tx2">
                <a:lumMod val="75000"/>
                <a:lumOff val="25000"/>
              </a:schemeClr>
            </a:solidFill>
          </a:ln>
          <a:effectLst/>
        </c:spPr>
      </c:pivotFmt>
      <c:pivotFmt>
        <c:idx val="4"/>
        <c:spPr>
          <a:solidFill>
            <a:schemeClr val="tx2">
              <a:lumMod val="10000"/>
              <a:lumOff val="90000"/>
            </a:schemeClr>
          </a:solidFill>
          <a:ln w="19050">
            <a:solidFill>
              <a:schemeClr val="tx2">
                <a:lumMod val="75000"/>
                <a:lumOff val="25000"/>
              </a:schemeClr>
            </a:solidFill>
          </a:ln>
          <a:effectLst/>
        </c:spPr>
      </c:pivotFmt>
      <c:pivotFmt>
        <c:idx val="5"/>
        <c:spPr>
          <a:solidFill>
            <a:schemeClr val="accent1"/>
          </a:solidFill>
          <a:ln w="19050">
            <a:solidFill>
              <a:schemeClr val="tx2">
                <a:lumMod val="75000"/>
                <a:lumOff val="2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tx2">
                <a:lumMod val="75000"/>
                <a:lumOff val="2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tx2">
              <a:lumMod val="50000"/>
              <a:lumOff val="50000"/>
            </a:schemeClr>
          </a:solidFill>
          <a:ln w="19050">
            <a:solidFill>
              <a:schemeClr val="tx2">
                <a:lumMod val="50000"/>
                <a:lumOff val="50000"/>
              </a:schemeClr>
            </a:solidFill>
          </a:ln>
          <a:effectLst/>
        </c:spPr>
      </c:pivotFmt>
      <c:pivotFmt>
        <c:idx val="9"/>
        <c:spPr>
          <a:solidFill>
            <a:schemeClr val="tx2">
              <a:lumMod val="25000"/>
              <a:lumOff val="75000"/>
            </a:schemeClr>
          </a:solidFill>
          <a:ln w="19050">
            <a:solidFill>
              <a:schemeClr val="tx2">
                <a:lumMod val="75000"/>
                <a:lumOff val="25000"/>
              </a:schemeClr>
            </a:solidFill>
          </a:ln>
          <a:effectLst/>
        </c:spPr>
      </c:pivotFmt>
      <c:pivotFmt>
        <c:idx val="10"/>
        <c:spPr>
          <a:solidFill>
            <a:schemeClr val="tx2">
              <a:lumMod val="10000"/>
              <a:lumOff val="90000"/>
            </a:schemeClr>
          </a:solidFill>
          <a:ln w="19050">
            <a:solidFill>
              <a:schemeClr val="tx2">
                <a:lumMod val="75000"/>
                <a:lumOff val="25000"/>
              </a:schemeClr>
            </a:solidFill>
          </a:ln>
          <a:effectLst/>
        </c:spPr>
      </c:pivotFmt>
      <c:pivotFmt>
        <c:idx val="11"/>
        <c:spPr>
          <a:solidFill>
            <a:schemeClr val="tx2">
              <a:lumMod val="50000"/>
              <a:lumOff val="50000"/>
            </a:schemeClr>
          </a:solidFill>
          <a:ln w="19050">
            <a:solidFill>
              <a:schemeClr val="tx2">
                <a:lumMod val="75000"/>
                <a:lumOff val="25000"/>
              </a:schemeClr>
            </a:solidFill>
          </a:ln>
          <a:effectLst/>
        </c:spPr>
      </c:pivotFmt>
      <c:pivotFmt>
        <c:idx val="12"/>
        <c:spPr>
          <a:solidFill>
            <a:schemeClr val="accent1"/>
          </a:solidFill>
          <a:ln w="1905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tx2">
                <a:lumMod val="75000"/>
                <a:lumOff val="2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tx2">
              <a:lumMod val="50000"/>
              <a:lumOff val="50000"/>
            </a:schemeClr>
          </a:solidFill>
          <a:ln w="19050">
            <a:solidFill>
              <a:schemeClr val="tx2">
                <a:lumMod val="50000"/>
                <a:lumOff val="50000"/>
              </a:schemeClr>
            </a:solidFill>
          </a:ln>
          <a:effectLst/>
        </c:spPr>
      </c:pivotFmt>
      <c:pivotFmt>
        <c:idx val="15"/>
        <c:spPr>
          <a:solidFill>
            <a:schemeClr val="tx2">
              <a:lumMod val="25000"/>
              <a:lumOff val="75000"/>
            </a:schemeClr>
          </a:solidFill>
          <a:ln w="19050">
            <a:solidFill>
              <a:schemeClr val="tx2">
                <a:lumMod val="75000"/>
                <a:lumOff val="25000"/>
              </a:schemeClr>
            </a:solidFill>
          </a:ln>
          <a:effectLst/>
        </c:spPr>
      </c:pivotFmt>
      <c:pivotFmt>
        <c:idx val="16"/>
        <c:spPr>
          <a:solidFill>
            <a:schemeClr val="tx2">
              <a:lumMod val="10000"/>
              <a:lumOff val="90000"/>
            </a:schemeClr>
          </a:solidFill>
          <a:ln w="19050">
            <a:solidFill>
              <a:schemeClr val="tx2">
                <a:lumMod val="75000"/>
                <a:lumOff val="25000"/>
              </a:schemeClr>
            </a:solidFill>
          </a:ln>
          <a:effectLst/>
        </c:spPr>
      </c:pivotFmt>
      <c:pivotFmt>
        <c:idx val="17"/>
        <c:spPr>
          <a:solidFill>
            <a:schemeClr val="tx2">
              <a:lumMod val="50000"/>
              <a:lumOff val="50000"/>
            </a:schemeClr>
          </a:solidFill>
          <a:ln w="19050">
            <a:solidFill>
              <a:schemeClr val="tx2">
                <a:lumMod val="75000"/>
                <a:lumOff val="25000"/>
              </a:schemeClr>
            </a:solidFill>
          </a:ln>
          <a:effectLst/>
        </c:spPr>
      </c:pivotFmt>
    </c:pivotFmts>
    <c:plotArea>
      <c:layout>
        <c:manualLayout>
          <c:layoutTarget val="inner"/>
          <c:xMode val="edge"/>
          <c:yMode val="edge"/>
          <c:x val="0.27617736138847215"/>
          <c:y val="0.20977181695834918"/>
          <c:w val="0.46937473069878444"/>
          <c:h val="0.73302210041692684"/>
        </c:manualLayout>
      </c:layout>
      <c:pieChart>
        <c:varyColors val="1"/>
        <c:ser>
          <c:idx val="0"/>
          <c:order val="0"/>
          <c:tx>
            <c:strRef>
              <c:f>Sheet1!$AC$2</c:f>
              <c:strCache>
                <c:ptCount val="1"/>
                <c:pt idx="0">
                  <c:v>Total</c:v>
                </c:pt>
              </c:strCache>
            </c:strRef>
          </c:tx>
          <c:spPr>
            <a:ln>
              <a:solidFill>
                <a:schemeClr val="tx2">
                  <a:lumMod val="75000"/>
                  <a:lumOff val="25000"/>
                </a:schemeClr>
              </a:solidFill>
            </a:ln>
          </c:spPr>
          <c:explosion val="6"/>
          <c:dPt>
            <c:idx val="0"/>
            <c:bubble3D val="0"/>
            <c:spPr>
              <a:solidFill>
                <a:schemeClr val="accent1"/>
              </a:solidFill>
              <a:ln w="19050">
                <a:solidFill>
                  <a:schemeClr val="tx2">
                    <a:lumMod val="75000"/>
                    <a:lumOff val="25000"/>
                  </a:schemeClr>
                </a:solidFill>
              </a:ln>
              <a:effectLst/>
            </c:spPr>
            <c:extLst>
              <c:ext xmlns:c16="http://schemas.microsoft.com/office/drawing/2014/chart" uri="{C3380CC4-5D6E-409C-BE32-E72D297353CC}">
                <c16:uniqueId val="{00000001-0884-4E58-890A-A07718974565}"/>
              </c:ext>
            </c:extLst>
          </c:dPt>
          <c:dPt>
            <c:idx val="1"/>
            <c:bubble3D val="0"/>
            <c:spPr>
              <a:solidFill>
                <a:schemeClr val="tx2">
                  <a:lumMod val="50000"/>
                  <a:lumOff val="50000"/>
                </a:schemeClr>
              </a:solidFill>
              <a:ln w="19050">
                <a:solidFill>
                  <a:schemeClr val="tx2">
                    <a:lumMod val="50000"/>
                    <a:lumOff val="50000"/>
                  </a:schemeClr>
                </a:solidFill>
              </a:ln>
              <a:effectLst/>
            </c:spPr>
            <c:extLst>
              <c:ext xmlns:c16="http://schemas.microsoft.com/office/drawing/2014/chart" uri="{C3380CC4-5D6E-409C-BE32-E72D297353CC}">
                <c16:uniqueId val="{00000003-0884-4E58-890A-A07718974565}"/>
              </c:ext>
            </c:extLst>
          </c:dPt>
          <c:dPt>
            <c:idx val="2"/>
            <c:bubble3D val="0"/>
            <c:spPr>
              <a:solidFill>
                <a:schemeClr val="tx2">
                  <a:lumMod val="25000"/>
                  <a:lumOff val="75000"/>
                </a:schemeClr>
              </a:solidFill>
              <a:ln w="19050">
                <a:solidFill>
                  <a:schemeClr val="tx2">
                    <a:lumMod val="75000"/>
                    <a:lumOff val="25000"/>
                  </a:schemeClr>
                </a:solidFill>
              </a:ln>
              <a:effectLst/>
            </c:spPr>
            <c:extLst>
              <c:ext xmlns:c16="http://schemas.microsoft.com/office/drawing/2014/chart" uri="{C3380CC4-5D6E-409C-BE32-E72D297353CC}">
                <c16:uniqueId val="{00000005-0884-4E58-890A-A07718974565}"/>
              </c:ext>
            </c:extLst>
          </c:dPt>
          <c:dPt>
            <c:idx val="3"/>
            <c:bubble3D val="0"/>
            <c:spPr>
              <a:solidFill>
                <a:schemeClr val="tx2">
                  <a:lumMod val="10000"/>
                  <a:lumOff val="90000"/>
                </a:schemeClr>
              </a:solidFill>
              <a:ln w="19050">
                <a:solidFill>
                  <a:schemeClr val="tx2">
                    <a:lumMod val="75000"/>
                    <a:lumOff val="25000"/>
                  </a:schemeClr>
                </a:solidFill>
              </a:ln>
              <a:effectLst/>
            </c:spPr>
            <c:extLst>
              <c:ext xmlns:c16="http://schemas.microsoft.com/office/drawing/2014/chart" uri="{C3380CC4-5D6E-409C-BE32-E72D297353CC}">
                <c16:uniqueId val="{00000007-0884-4E58-890A-A07718974565}"/>
              </c:ext>
            </c:extLst>
          </c:dPt>
          <c:dPt>
            <c:idx val="4"/>
            <c:bubble3D val="0"/>
            <c:spPr>
              <a:solidFill>
                <a:schemeClr val="tx2">
                  <a:lumMod val="50000"/>
                  <a:lumOff val="50000"/>
                </a:schemeClr>
              </a:solidFill>
              <a:ln w="19050">
                <a:solidFill>
                  <a:schemeClr val="tx2">
                    <a:lumMod val="75000"/>
                    <a:lumOff val="25000"/>
                  </a:schemeClr>
                </a:solidFill>
              </a:ln>
              <a:effectLst/>
            </c:spPr>
            <c:extLst>
              <c:ext xmlns:c16="http://schemas.microsoft.com/office/drawing/2014/chart" uri="{C3380CC4-5D6E-409C-BE32-E72D297353CC}">
                <c16:uniqueId val="{00000009-0884-4E58-890A-A07718974565}"/>
              </c:ext>
            </c:extLst>
          </c:dPt>
          <c:dLbls>
            <c:dLbl>
              <c:idx val="0"/>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884-4E58-890A-A077189745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Sheet1!$AB$3:$AB$7</c:f>
              <c:strCache>
                <c:ptCount val="5"/>
                <c:pt idx="0">
                  <c:v>Egypt</c:v>
                </c:pt>
                <c:pt idx="1">
                  <c:v>Iraq</c:v>
                </c:pt>
                <c:pt idx="2">
                  <c:v>KSA</c:v>
                </c:pt>
                <c:pt idx="3">
                  <c:v>Lebanon</c:v>
                </c:pt>
                <c:pt idx="4">
                  <c:v>Oman</c:v>
                </c:pt>
              </c:strCache>
            </c:strRef>
          </c:cat>
          <c:val>
            <c:numRef>
              <c:f>Sheet1!$AC$3:$AC$7</c:f>
              <c:numCache>
                <c:formatCode>0</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A-0884-4E58-890A-A07718974565}"/>
            </c:ext>
          </c:extLst>
        </c:ser>
        <c:dLbls>
          <c:showLegendKey val="0"/>
          <c:showVal val="0"/>
          <c:showCatName val="0"/>
          <c:showSerName val="0"/>
          <c:showPercent val="0"/>
          <c:showBubbleSize val="0"/>
          <c:showLeaderLines val="1"/>
        </c:dLbls>
        <c:firstSliceAng val="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[Adidas-US-Interactive-Sales-Project.xlsx]Sheet1!PivotTable10</c:name>
    <c:fmtId val="2"/>
  </c:pivotSource>
  <c:chart>
    <c:title>
      <c:tx>
        <c:rich>
          <a:bodyPr rot="0" spcFirstLastPara="1" vertOverflow="ellipsis" vert="horz" wrap="square" anchor="ctr" anchorCtr="1"/>
          <a:lstStyle/>
          <a:p>
            <a:pPr>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 by Store Type</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tx2">
              <a:lumMod val="25000"/>
              <a:lumOff val="75000"/>
            </a:schemeClr>
          </a:solidFill>
          <a:ln w="19050">
            <a:solidFill>
              <a:schemeClr val="lt1"/>
            </a:solidFill>
          </a:ln>
          <a:effectLst/>
        </c:spPr>
      </c:pivotFmt>
      <c:pivotFmt>
        <c:idx val="3"/>
        <c:spPr>
          <a:solidFill>
            <a:schemeClr val="tx2">
              <a:lumMod val="10000"/>
              <a:lumOff val="90000"/>
            </a:schemeClr>
          </a:solidFill>
          <a:ln w="19050">
            <a:solidFill>
              <a:schemeClr val="lt1"/>
            </a:solidFill>
          </a:ln>
          <a:effectLst/>
        </c:spPr>
      </c:pivotFmt>
      <c:pivotFmt>
        <c:idx val="4"/>
        <c:spPr>
          <a:solidFill>
            <a:schemeClr val="tx2">
              <a:lumMod val="25000"/>
              <a:lumOff val="7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tx2">
              <a:lumMod val="25000"/>
              <a:lumOff val="75000"/>
            </a:schemeClr>
          </a:solidFill>
          <a:ln w="19050">
            <a:solidFill>
              <a:schemeClr val="lt1"/>
            </a:solidFill>
          </a:ln>
          <a:effectLst/>
        </c:spPr>
      </c:pivotFmt>
      <c:pivotFmt>
        <c:idx val="8"/>
        <c:spPr>
          <a:solidFill>
            <a:schemeClr val="tx2">
              <a:lumMod val="25000"/>
              <a:lumOff val="75000"/>
            </a:schemeClr>
          </a:solidFill>
          <a:ln w="19050">
            <a:solidFill>
              <a:schemeClr val="lt1"/>
            </a:solidFill>
          </a:ln>
          <a:effectLst/>
        </c:spPr>
      </c:pivotFmt>
      <c:pivotFmt>
        <c:idx val="9"/>
        <c:spPr>
          <a:solidFill>
            <a:schemeClr val="tx2">
              <a:lumMod val="10000"/>
              <a:lumOff val="9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tx2">
              <a:lumMod val="25000"/>
              <a:lumOff val="75000"/>
            </a:schemeClr>
          </a:solidFill>
          <a:ln w="19050">
            <a:solidFill>
              <a:schemeClr val="lt1"/>
            </a:solidFill>
          </a:ln>
          <a:effectLst/>
        </c:spPr>
      </c:pivotFmt>
      <c:pivotFmt>
        <c:idx val="13"/>
        <c:spPr>
          <a:solidFill>
            <a:schemeClr val="tx2">
              <a:lumMod val="25000"/>
              <a:lumOff val="75000"/>
            </a:schemeClr>
          </a:solidFill>
          <a:ln w="19050">
            <a:solidFill>
              <a:schemeClr val="lt1"/>
            </a:solidFill>
          </a:ln>
          <a:effectLst/>
        </c:spPr>
      </c:pivotFmt>
      <c:pivotFmt>
        <c:idx val="14"/>
        <c:spPr>
          <a:solidFill>
            <a:schemeClr val="tx2">
              <a:lumMod val="10000"/>
              <a:lumOff val="90000"/>
            </a:schemeClr>
          </a:solidFill>
          <a:ln w="19050">
            <a:solidFill>
              <a:schemeClr val="lt1"/>
            </a:solidFill>
          </a:ln>
          <a:effectLst/>
        </c:spPr>
        <c:dLbl>
          <c:idx val="0"/>
          <c:layout>
            <c:manualLayout>
              <c:x val="-3.925956134395632E-2"/>
              <c:y val="-0.1052039031627064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Sheet1!$AG$2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22-45D6-B559-8F2C6084C554}"/>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E422-45D6-B559-8F2C6084C554}"/>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E422-45D6-B559-8F2C6084C554}"/>
              </c:ext>
            </c:extLst>
          </c:dPt>
          <c:dPt>
            <c:idx val="3"/>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7-E422-45D6-B559-8F2C6084C554}"/>
              </c:ext>
            </c:extLst>
          </c:dPt>
          <c:dLbls>
            <c:dLbl>
              <c:idx val="3"/>
              <c:layout>
                <c:manualLayout>
                  <c:x val="-3.925956134395632E-2"/>
                  <c:y val="-0.1052039031627064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E422-45D6-B559-8F2C6084C55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Sheet1!$AF$3:$AF$6</c:f>
              <c:strCache>
                <c:ptCount val="4"/>
                <c:pt idx="0">
                  <c:v>Online</c:v>
                </c:pt>
                <c:pt idx="1">
                  <c:v>Outlet</c:v>
                </c:pt>
                <c:pt idx="2">
                  <c:v>Retail</c:v>
                </c:pt>
                <c:pt idx="3">
                  <c:v>Wholesale</c:v>
                </c:pt>
              </c:strCache>
            </c:strRef>
          </c:cat>
          <c:val>
            <c:numRef>
              <c:f>Sheet1!$AG$3:$AG$6</c:f>
              <c:numCache>
                <c:formatCode>0</c:formatCode>
                <c:ptCount val="4"/>
                <c:pt idx="0">
                  <c:v>133207.11999999997</c:v>
                </c:pt>
                <c:pt idx="1">
                  <c:v>33516.269999999997</c:v>
                </c:pt>
                <c:pt idx="2">
                  <c:v>102147.07999999997</c:v>
                </c:pt>
                <c:pt idx="3">
                  <c:v>18507.449999999997</c:v>
                </c:pt>
              </c:numCache>
            </c:numRef>
          </c:val>
          <c:extLst>
            <c:ext xmlns:c16="http://schemas.microsoft.com/office/drawing/2014/chart" uri="{C3380CC4-5D6E-409C-BE32-E72D297353CC}">
              <c16:uniqueId val="{00000008-E422-45D6-B559-8F2C6084C55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Revenue By Quarter </a:t>
            </a:r>
          </a:p>
        </c:rich>
      </c:tx>
      <c:layout>
        <c:manualLayout>
          <c:xMode val="edge"/>
          <c:yMode val="edge"/>
          <c:x val="0.35651628652801376"/>
          <c:y val="2.3108048993875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chemeClr val="accent1"/>
            </a:solidFill>
            <a:round/>
          </a:ln>
          <a:effectLst/>
        </c:spPr>
        <c:marker>
          <c:symbol val="square"/>
          <c:size val="3"/>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chemeClr val="accent1"/>
            </a:solidFill>
            <a:round/>
          </a:ln>
          <a:effectLst/>
        </c:spPr>
        <c:marker>
          <c:symbol val="square"/>
          <c:size val="3"/>
          <c:spPr>
            <a:solidFill>
              <a:srgbClr val="FFC000"/>
            </a:solidFill>
            <a:ln w="9525">
              <a:solidFill>
                <a:srgbClr val="FFC000"/>
              </a:solidFill>
            </a:ln>
            <a:effectLst/>
          </c:spPr>
        </c:marker>
      </c:pivotFmt>
      <c:pivotFmt>
        <c:idx val="2"/>
        <c:spPr>
          <a:solidFill>
            <a:schemeClr val="accent1"/>
          </a:solidFill>
          <a:ln w="50800" cap="rnd">
            <a:solidFill>
              <a:srgbClr val="FF0000"/>
            </a:solidFill>
            <a:round/>
          </a:ln>
          <a:effectLst/>
        </c:spPr>
        <c:marker>
          <c:symbol val="square"/>
          <c:size val="3"/>
          <c:spPr>
            <a:solidFill>
              <a:srgbClr val="FFC000"/>
            </a:solidFill>
            <a:ln w="9525">
              <a:solidFill>
                <a:srgbClr val="FFC000"/>
              </a:solidFill>
            </a:ln>
            <a:effectLst/>
          </c:spPr>
        </c:marker>
      </c:pivotFmt>
      <c:pivotFmt>
        <c:idx val="3"/>
        <c:spPr>
          <a:solidFill>
            <a:schemeClr val="accent1"/>
          </a:solidFill>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pivotFmt>
      <c:pivotFmt>
        <c:idx val="5"/>
        <c:spPr>
          <a:solidFill>
            <a:schemeClr val="accent1"/>
          </a:solidFill>
          <a:ln w="50800" cap="rnd">
            <a:solidFill>
              <a:schemeClr val="accent1"/>
            </a:solidFill>
            <a:round/>
          </a:ln>
          <a:effectLst/>
        </c:spPr>
        <c:marker>
          <c:symbol val="square"/>
          <c:size val="3"/>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50800" cap="rnd">
            <a:solidFill>
              <a:srgbClr val="FF0000"/>
            </a:solidFill>
            <a:round/>
          </a:ln>
          <a:effectLst/>
        </c:spPr>
        <c:marker>
          <c:symbol val="square"/>
          <c:size val="3"/>
          <c:spPr>
            <a:solidFill>
              <a:srgbClr val="FFC000"/>
            </a:solidFill>
            <a:ln w="9525">
              <a:solidFill>
                <a:srgbClr val="FFC000"/>
              </a:solidFill>
            </a:ln>
            <a:effectLst/>
          </c:spPr>
        </c:marker>
      </c:pivotFmt>
      <c:pivotFmt>
        <c:idx val="7"/>
        <c:spPr>
          <a:solidFill>
            <a:schemeClr val="accent1"/>
          </a:solidFill>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50800" cap="rnd">
            <a:solidFill>
              <a:schemeClr val="accent1"/>
            </a:solidFill>
            <a:round/>
          </a:ln>
          <a:effectLst/>
        </c:spPr>
        <c:marker>
          <c:symbol val="square"/>
          <c:size val="3"/>
          <c:spPr>
            <a:solidFill>
              <a:srgbClr val="FFC000"/>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50800" cap="rnd">
            <a:solidFill>
              <a:srgbClr val="FF0000"/>
            </a:solidFill>
            <a:round/>
          </a:ln>
          <a:effectLst/>
        </c:spPr>
        <c:marker>
          <c:symbol val="square"/>
          <c:size val="3"/>
          <c:spPr>
            <a:solidFill>
              <a:srgbClr val="FFC000"/>
            </a:solidFill>
            <a:ln w="9525">
              <a:solidFill>
                <a:srgbClr val="FFC000"/>
              </a:solidFill>
            </a:ln>
            <a:effectLst/>
          </c:spPr>
        </c:marker>
      </c:pivotFmt>
      <c:pivotFmt>
        <c:idx val="10"/>
        <c:spPr>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1951683476141"/>
          <c:y val="0.16609060012829477"/>
          <c:w val="0.79721864806477838"/>
          <c:h val="0.53763159813356665"/>
        </c:manualLayout>
      </c:layout>
      <c:lineChart>
        <c:grouping val="standard"/>
        <c:varyColors val="0"/>
        <c:ser>
          <c:idx val="0"/>
          <c:order val="0"/>
          <c:tx>
            <c:strRef>
              <c:f>Sheet1!$B$3</c:f>
              <c:strCache>
                <c:ptCount val="1"/>
                <c:pt idx="0">
                  <c:v>Sum of Revenue</c:v>
                </c:pt>
              </c:strCache>
            </c:strRef>
          </c:tx>
          <c:spPr>
            <a:ln w="50800" cap="rnd">
              <a:solidFill>
                <a:schemeClr val="accent1"/>
              </a:solidFill>
              <a:round/>
            </a:ln>
            <a:effectLst/>
          </c:spPr>
          <c:marker>
            <c:symbol val="square"/>
            <c:size val="3"/>
            <c:spPr>
              <a:solidFill>
                <a:srgbClr val="FFC000"/>
              </a:solidFill>
              <a:ln w="9525">
                <a:solidFill>
                  <a:srgbClr val="FFC000"/>
                </a:solidFill>
              </a:ln>
              <a:effectLst/>
            </c:spPr>
          </c:marker>
          <c:dPt>
            <c:idx val="6"/>
            <c:marker>
              <c:symbol val="square"/>
              <c:size val="3"/>
              <c:spPr>
                <a:solidFill>
                  <a:srgbClr val="FFC000"/>
                </a:solidFill>
                <a:ln w="9525">
                  <a:solidFill>
                    <a:srgbClr val="FFC000"/>
                  </a:solidFill>
                </a:ln>
                <a:effectLst/>
              </c:spPr>
            </c:marker>
            <c:bubble3D val="0"/>
            <c:spPr>
              <a:ln w="50800" cap="rnd">
                <a:solidFill>
                  <a:srgbClr val="FF0000"/>
                </a:solidFill>
                <a:round/>
              </a:ln>
              <a:effectLst/>
            </c:spPr>
            <c:extLst>
              <c:ext xmlns:c16="http://schemas.microsoft.com/office/drawing/2014/chart" uri="{C3380CC4-5D6E-409C-BE32-E72D297353CC}">
                <c16:uniqueId val="{00000001-26EF-484E-9134-C6E63070CF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Sheet1!$A$4:$A$17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Sheet1!$B$4:$B$17</c:f>
              <c:numCache>
                <c:formatCode>0</c:formatCode>
                <c:ptCount val="11"/>
                <c:pt idx="0">
                  <c:v>21037.48000000001</c:v>
                </c:pt>
                <c:pt idx="1">
                  <c:v>28726.329999999991</c:v>
                </c:pt>
                <c:pt idx="2">
                  <c:v>26262.350000000002</c:v>
                </c:pt>
                <c:pt idx="3">
                  <c:v>31322.27</c:v>
                </c:pt>
                <c:pt idx="4">
                  <c:v>28801.150000000005</c:v>
                </c:pt>
                <c:pt idx="5">
                  <c:v>25681.170000000009</c:v>
                </c:pt>
                <c:pt idx="6">
                  <c:v>22498.079999999994</c:v>
                </c:pt>
                <c:pt idx="7">
                  <c:v>26249.349999999995</c:v>
                </c:pt>
                <c:pt idx="8">
                  <c:v>24701.390000000007</c:v>
                </c:pt>
                <c:pt idx="9">
                  <c:v>26518.060000000016</c:v>
                </c:pt>
                <c:pt idx="10">
                  <c:v>25580.289999999997</c:v>
                </c:pt>
              </c:numCache>
            </c:numRef>
          </c:val>
          <c:smooth val="1"/>
          <c:extLst>
            <c:ext xmlns:c16="http://schemas.microsoft.com/office/drawing/2014/chart" uri="{C3380CC4-5D6E-409C-BE32-E72D297353CC}">
              <c16:uniqueId val="{00000002-26EF-484E-9134-C6E63070CF13}"/>
            </c:ext>
          </c:extLst>
        </c:ser>
        <c:ser>
          <c:idx val="1"/>
          <c:order val="1"/>
          <c:tx>
            <c:strRef>
              <c:f>Sheet1!$C$3</c:f>
              <c:strCache>
                <c:ptCount val="1"/>
                <c:pt idx="0">
                  <c:v>Sum of Profit</c:v>
                </c:pt>
              </c:strCache>
            </c:strRef>
          </c:tx>
          <c:spPr>
            <a:ln w="34925" cap="rnd">
              <a:solidFill>
                <a:schemeClr val="tx2">
                  <a:lumMod val="25000"/>
                  <a:lumOff val="75000"/>
                </a:schemeClr>
              </a:solidFill>
              <a:round/>
            </a:ln>
            <a:effectLst/>
          </c:spPr>
          <c:marker>
            <c:symbol val="square"/>
            <c:size val="3"/>
            <c:spPr>
              <a:solidFill>
                <a:srgbClr val="FFC0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Sheet1!$A$4:$A$17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Sheet1!$C$4:$C$17</c:f>
              <c:numCache>
                <c:formatCode>0</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0"/>
          <c:extLst>
            <c:ext xmlns:c16="http://schemas.microsoft.com/office/drawing/2014/chart" uri="{C3380CC4-5D6E-409C-BE32-E72D297353CC}">
              <c16:uniqueId val="{00000003-26EF-484E-9134-C6E63070CF13}"/>
            </c:ext>
          </c:extLst>
        </c:ser>
        <c:dLbls>
          <c:showLegendKey val="0"/>
          <c:showVal val="0"/>
          <c:showCatName val="0"/>
          <c:showSerName val="0"/>
          <c:showPercent val="0"/>
          <c:showBubbleSize val="0"/>
        </c:dLbls>
        <c:marker val="1"/>
        <c:smooth val="0"/>
        <c:axId val="797651920"/>
        <c:axId val="797653168"/>
      </c:lineChart>
      <c:catAx>
        <c:axId val="79765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7653168"/>
        <c:crosses val="autoZero"/>
        <c:auto val="1"/>
        <c:lblAlgn val="ctr"/>
        <c:lblOffset val="100"/>
        <c:noMultiLvlLbl val="0"/>
      </c:catAx>
      <c:valAx>
        <c:axId val="797653168"/>
        <c:scaling>
          <c:orientation val="minMax"/>
        </c:scaling>
        <c:delete val="1"/>
        <c:axPos val="l"/>
        <c:numFmt formatCode="0" sourceLinked="1"/>
        <c:majorTickMark val="none"/>
        <c:minorTickMark val="none"/>
        <c:tickLblPos val="nextTo"/>
        <c:crossAx val="797651920"/>
        <c:crosses val="autoZero"/>
        <c:crossBetween val="between"/>
      </c:valAx>
      <c:spPr>
        <a:noFill/>
        <a:ln w="25400">
          <a:noFill/>
        </a:ln>
        <a:effectLst/>
      </c:spPr>
    </c:plotArea>
    <c:legend>
      <c:legendPos val="r"/>
      <c:layout>
        <c:manualLayout>
          <c:xMode val="edge"/>
          <c:yMode val="edge"/>
          <c:x val="3.8627929367885138E-3"/>
          <c:y val="0.2628575494362923"/>
          <c:w val="0.13870811140684988"/>
          <c:h val="0.403571946059864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[Adidas-US-Interactive-Sales-Project.xlsx]Sheet1!PivotTable6</c:name>
    <c:fmtId val="4"/>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Top 10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Sheet1!$V$3:$V$23</c:f>
              <c:strCache>
                <c:ptCount val="21"/>
                <c:pt idx="0">
                  <c:v>(blank)</c:v>
                </c:pt>
                <c:pt idx="1">
                  <c:v>Sports Bottle</c:v>
                </c:pt>
                <c:pt idx="2">
                  <c:v>Essentials Tee</c:v>
                </c:pt>
                <c:pt idx="3">
                  <c:v>Performance Socks (3-pack)</c:v>
                </c:pt>
                <c:pt idx="4">
                  <c:v>Gym Bag</c:v>
                </c:pt>
                <c:pt idx="5">
                  <c:v>Training Cap</c:v>
                </c:pt>
                <c:pt idx="6">
                  <c:v>Training Shorts</c:v>
                </c:pt>
                <c:pt idx="7">
                  <c:v>Adilette Slides</c:v>
                </c:pt>
                <c:pt idx="8">
                  <c:v>Running Watch Strap</c:v>
                </c:pt>
                <c:pt idx="9">
                  <c:v>Tiro 23 Track Pants</c:v>
                </c:pt>
                <c:pt idx="10">
                  <c:v>Adicolor Hoodie</c:v>
                </c:pt>
                <c:pt idx="11">
                  <c:v>Originals Backpack</c:v>
                </c:pt>
                <c:pt idx="12">
                  <c:v>Stan Smith</c:v>
                </c:pt>
                <c:pt idx="13">
                  <c:v>Superstar</c:v>
                </c:pt>
                <c:pt idx="14">
                  <c:v>NMD_R1</c:v>
                </c:pt>
                <c:pt idx="15">
                  <c:v>Z.N.E. Hoodie</c:v>
                </c:pt>
                <c:pt idx="16">
                  <c:v>Ultraboost 22</c:v>
                </c:pt>
                <c:pt idx="17">
                  <c:v>Copa Sense</c:v>
                </c:pt>
                <c:pt idx="18">
                  <c:v>Primegreen Jacket</c:v>
                </c:pt>
                <c:pt idx="19">
                  <c:v>Ultraboost Light</c:v>
                </c:pt>
                <c:pt idx="20">
                  <c:v>Predator Freak</c:v>
                </c:pt>
              </c:strCache>
            </c:strRef>
          </c:cat>
          <c:val>
            <c:numRef>
              <c:f>Sheet1!$W$3:$W$23</c:f>
              <c:numCache>
                <c:formatCode>0</c:formatCode>
                <c:ptCount val="21"/>
                <c:pt idx="1">
                  <c:v>2581.6100000000006</c:v>
                </c:pt>
                <c:pt idx="2">
                  <c:v>3033.2400000000016</c:v>
                </c:pt>
                <c:pt idx="3">
                  <c:v>3339.7099999999996</c:v>
                </c:pt>
                <c:pt idx="4">
                  <c:v>3971.5299999999997</c:v>
                </c:pt>
                <c:pt idx="5">
                  <c:v>3972.639999999999</c:v>
                </c:pt>
                <c:pt idx="6">
                  <c:v>4828.4700000000012</c:v>
                </c:pt>
                <c:pt idx="7">
                  <c:v>5753.0799999999981</c:v>
                </c:pt>
                <c:pt idx="8">
                  <c:v>6956.86</c:v>
                </c:pt>
                <c:pt idx="9">
                  <c:v>7427.3499999999976</c:v>
                </c:pt>
                <c:pt idx="10">
                  <c:v>10080.65</c:v>
                </c:pt>
                <c:pt idx="11">
                  <c:v>10172.119999999999</c:v>
                </c:pt>
                <c:pt idx="12">
                  <c:v>19473.910000000003</c:v>
                </c:pt>
                <c:pt idx="13">
                  <c:v>19507.310000000009</c:v>
                </c:pt>
                <c:pt idx="14">
                  <c:v>19746.080000000002</c:v>
                </c:pt>
                <c:pt idx="15">
                  <c:v>24288.029999999995</c:v>
                </c:pt>
                <c:pt idx="16">
                  <c:v>25555.620000000006</c:v>
                </c:pt>
                <c:pt idx="17">
                  <c:v>27178.44999999999</c:v>
                </c:pt>
                <c:pt idx="18">
                  <c:v>27720.090000000015</c:v>
                </c:pt>
                <c:pt idx="19">
                  <c:v>30192.089999999997</c:v>
                </c:pt>
                <c:pt idx="20">
                  <c:v>31599.08</c:v>
                </c:pt>
              </c:numCache>
            </c:numRef>
          </c:val>
          <c:extLst>
            <c:ext xmlns:c16="http://schemas.microsoft.com/office/drawing/2014/chart" uri="{C3380CC4-5D6E-409C-BE32-E72D297353CC}">
              <c16:uniqueId val="{00000000-A41A-4A66-AE6F-60008B80BDDB}"/>
            </c:ext>
          </c:extLst>
        </c:ser>
        <c:dLbls>
          <c:dLblPos val="outEnd"/>
          <c:showLegendKey val="0"/>
          <c:showVal val="1"/>
          <c:showCatName val="0"/>
          <c:showSerName val="0"/>
          <c:showPercent val="0"/>
          <c:showBubbleSize val="0"/>
        </c:dLbls>
        <c:gapWidth val="219"/>
        <c:axId val="940480656"/>
        <c:axId val="940483152"/>
      </c:barChart>
      <c:catAx>
        <c:axId val="94048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40483152"/>
        <c:crosses val="autoZero"/>
        <c:auto val="1"/>
        <c:lblAlgn val="ctr"/>
        <c:lblOffset val="100"/>
        <c:noMultiLvlLbl val="0"/>
      </c:catAx>
      <c:valAx>
        <c:axId val="940483152"/>
        <c:scaling>
          <c:orientation val="minMax"/>
        </c:scaling>
        <c:delete val="1"/>
        <c:axPos val="b"/>
        <c:numFmt formatCode="0" sourceLinked="1"/>
        <c:majorTickMark val="none"/>
        <c:minorTickMark val="none"/>
        <c:tickLblPos val="nextTo"/>
        <c:crossAx val="94048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Payment Method Analysis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lotArea>
      <c:layout>
        <c:manualLayout>
          <c:layoutTarget val="inner"/>
          <c:xMode val="edge"/>
          <c:yMode val="edge"/>
          <c:x val="2.6481628891248603E-2"/>
          <c:y val="0.16318091524089381"/>
          <c:w val="0.95145034703271092"/>
          <c:h val="0.7196382244436511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Sheet1!$AK$3:$AK$10</c:f>
              <c:strCache>
                <c:ptCount val="8"/>
                <c:pt idx="0">
                  <c:v>PayPal</c:v>
                </c:pt>
                <c:pt idx="1">
                  <c:v>NetBanking</c:v>
                </c:pt>
                <c:pt idx="2">
                  <c:v>Apple Pay</c:v>
                </c:pt>
                <c:pt idx="3">
                  <c:v>Debit Card</c:v>
                </c:pt>
                <c:pt idx="4">
                  <c:v>UPI</c:v>
                </c:pt>
                <c:pt idx="5">
                  <c:v>Cash</c:v>
                </c:pt>
                <c:pt idx="6">
                  <c:v>Credit Card</c:v>
                </c:pt>
                <c:pt idx="7">
                  <c:v>Google Pay</c:v>
                </c:pt>
              </c:strCache>
            </c:strRef>
          </c:cat>
          <c:val>
            <c:numRef>
              <c:f>Sheet1!$AL$3:$AL$10</c:f>
              <c:numCache>
                <c:formatCode>0</c:formatCode>
                <c:ptCount val="8"/>
                <c:pt idx="0">
                  <c:v>42348.679999999993</c:v>
                </c:pt>
                <c:pt idx="1">
                  <c:v>39117.770000000004</c:v>
                </c:pt>
                <c:pt idx="2">
                  <c:v>38598.590000000004</c:v>
                </c:pt>
                <c:pt idx="3">
                  <c:v>38181.170000000006</c:v>
                </c:pt>
                <c:pt idx="4">
                  <c:v>35369.94</c:v>
                </c:pt>
                <c:pt idx="5">
                  <c:v>33175.260000000009</c:v>
                </c:pt>
                <c:pt idx="6">
                  <c:v>32106.239999999987</c:v>
                </c:pt>
                <c:pt idx="7">
                  <c:v>28480.27</c:v>
                </c:pt>
              </c:numCache>
            </c:numRef>
          </c:val>
          <c:extLst>
            <c:ext xmlns:c16="http://schemas.microsoft.com/office/drawing/2014/chart" uri="{C3380CC4-5D6E-409C-BE32-E72D297353CC}">
              <c16:uniqueId val="{00000000-9ACA-460D-97BA-F161F03468A4}"/>
            </c:ext>
          </c:extLst>
        </c:ser>
        <c:dLbls>
          <c:dLblPos val="outEnd"/>
          <c:showLegendKey val="0"/>
          <c:showVal val="1"/>
          <c:showCatName val="0"/>
          <c:showSerName val="0"/>
          <c:showPercent val="0"/>
          <c:showBubbleSize val="0"/>
        </c:dLbls>
        <c:gapWidth val="219"/>
        <c:overlap val="-27"/>
        <c:axId val="1422656032"/>
        <c:axId val="1422672672"/>
      </c:barChart>
      <c:catAx>
        <c:axId val="14226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422672672"/>
        <c:crosses val="autoZero"/>
        <c:auto val="1"/>
        <c:lblAlgn val="ctr"/>
        <c:lblOffset val="100"/>
        <c:noMultiLvlLbl val="0"/>
      </c:catAx>
      <c:valAx>
        <c:axId val="1422672672"/>
        <c:scaling>
          <c:orientation val="minMax"/>
        </c:scaling>
        <c:delete val="1"/>
        <c:axPos val="l"/>
        <c:numFmt formatCode="0" sourceLinked="1"/>
        <c:majorTickMark val="none"/>
        <c:minorTickMark val="none"/>
        <c:tickLblPos val="nextTo"/>
        <c:crossAx val="142265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[Adidas-US-Interactive-Sales-Project.xlsx]Sheet1!PivotTable5</c:name>
    <c:fmtId val="2"/>
  </c:pivotSource>
  <c:chart>
    <c:title>
      <c:tx>
        <c:rich>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r>
              <a:rPr lang="en-US" sz="1800" b="1" i="0" u="none" strike="noStrike" kern="1200" spc="0" baseline="0">
                <a:solidFill>
                  <a:schemeClr val="accent1">
                    <a:lumMod val="75000"/>
                  </a:schemeClr>
                </a:solidFill>
                <a:effectLst/>
                <a:latin typeface="+mn-lt"/>
                <a:ea typeface="+mn-ea"/>
                <a:cs typeface="+mn-cs"/>
              </a:rPr>
              <a:t>Sales By Category</a:t>
            </a:r>
          </a:p>
        </c:rich>
      </c:tx>
      <c:layout>
        <c:manualLayout>
          <c:xMode val="edge"/>
          <c:yMode val="edge"/>
          <c:x val="0.29446909959788226"/>
          <c:y val="2.1475248085616912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accent1">
                  <a:lumMod val="75000"/>
                </a:scheme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42138938620543"/>
          <c:y val="0.20914101544104158"/>
          <c:w val="0.62205293088363955"/>
          <c:h val="0.65853091280256637"/>
        </c:manualLayout>
      </c:layout>
      <c:barChart>
        <c:barDir val="col"/>
        <c:grouping val="clustered"/>
        <c:varyColors val="0"/>
        <c:ser>
          <c:idx val="0"/>
          <c:order val="0"/>
          <c:tx>
            <c:strRef>
              <c:f>Sheet1!$S$2</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Sheet1!$R$3:$R$6</c:f>
              <c:strCache>
                <c:ptCount val="4"/>
                <c:pt idx="0">
                  <c:v>Accessories</c:v>
                </c:pt>
                <c:pt idx="1">
                  <c:v>Apparel</c:v>
                </c:pt>
                <c:pt idx="2">
                  <c:v>Footwear</c:v>
                </c:pt>
                <c:pt idx="3">
                  <c:v>(blank)</c:v>
                </c:pt>
              </c:strCache>
            </c:strRef>
          </c:cat>
          <c:val>
            <c:numRef>
              <c:f>Sheet1!$S$3:$S$6</c:f>
              <c:numCache>
                <c:formatCode>0</c:formatCode>
                <c:ptCount val="4"/>
                <c:pt idx="0">
                  <c:v>30994.470000000016</c:v>
                </c:pt>
                <c:pt idx="1">
                  <c:v>77377.83000000006</c:v>
                </c:pt>
                <c:pt idx="2">
                  <c:v>179005.61999999988</c:v>
                </c:pt>
              </c:numCache>
            </c:numRef>
          </c:val>
          <c:extLst>
            <c:ext xmlns:c16="http://schemas.microsoft.com/office/drawing/2014/chart" uri="{C3380CC4-5D6E-409C-BE32-E72D297353CC}">
              <c16:uniqueId val="{00000000-4BE2-4C04-8631-182B521F4728}"/>
            </c:ext>
          </c:extLst>
        </c:ser>
        <c:ser>
          <c:idx val="1"/>
          <c:order val="1"/>
          <c:tx>
            <c:strRef>
              <c:f>Sheet1!$T$2</c:f>
              <c:strCache>
                <c:ptCount val="1"/>
                <c:pt idx="0">
                  <c:v>Sum of Profit</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Sheet1!$R$3:$R$6</c:f>
              <c:strCache>
                <c:ptCount val="4"/>
                <c:pt idx="0">
                  <c:v>Accessories</c:v>
                </c:pt>
                <c:pt idx="1">
                  <c:v>Apparel</c:v>
                </c:pt>
                <c:pt idx="2">
                  <c:v>Footwear</c:v>
                </c:pt>
                <c:pt idx="3">
                  <c:v>(blank)</c:v>
                </c:pt>
              </c:strCache>
            </c:strRef>
          </c:cat>
          <c:val>
            <c:numRef>
              <c:f>Sheet1!$T$3:$T$6</c:f>
              <c:numCache>
                <c:formatCode>0</c:formatCode>
                <c:ptCount val="4"/>
                <c:pt idx="0">
                  <c:v>10185.759999999998</c:v>
                </c:pt>
                <c:pt idx="1">
                  <c:v>22056.459999999981</c:v>
                </c:pt>
                <c:pt idx="2">
                  <c:v>52827.629999999939</c:v>
                </c:pt>
              </c:numCache>
            </c:numRef>
          </c:val>
          <c:extLst>
            <c:ext xmlns:c16="http://schemas.microsoft.com/office/drawing/2014/chart" uri="{C3380CC4-5D6E-409C-BE32-E72D297353CC}">
              <c16:uniqueId val="{00000001-4BE2-4C04-8631-182B521F4728}"/>
            </c:ext>
          </c:extLst>
        </c:ser>
        <c:dLbls>
          <c:showLegendKey val="0"/>
          <c:showVal val="0"/>
          <c:showCatName val="0"/>
          <c:showSerName val="0"/>
          <c:showPercent val="0"/>
          <c:showBubbleSize val="0"/>
        </c:dLbls>
        <c:gapWidth val="219"/>
        <c:overlap val="-27"/>
        <c:axId val="1426689024"/>
        <c:axId val="1426687360"/>
      </c:barChart>
      <c:catAx>
        <c:axId val="142668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687360"/>
        <c:crosses val="autoZero"/>
        <c:auto val="1"/>
        <c:lblAlgn val="ctr"/>
        <c:lblOffset val="100"/>
        <c:noMultiLvlLbl val="0"/>
      </c:catAx>
      <c:valAx>
        <c:axId val="1426687360"/>
        <c:scaling>
          <c:orientation val="minMax"/>
        </c:scaling>
        <c:delete val="1"/>
        <c:axPos val="l"/>
        <c:numFmt formatCode="0" sourceLinked="1"/>
        <c:majorTickMark val="none"/>
        <c:minorTickMark val="none"/>
        <c:tickLblPos val="nextTo"/>
        <c:crossAx val="1426689024"/>
        <c:crosses val="autoZero"/>
        <c:crossBetween val="between"/>
      </c:valAx>
      <c:spPr>
        <a:noFill/>
        <a:ln>
          <a:noFill/>
        </a:ln>
        <a:effectLst/>
      </c:spPr>
    </c:plotArea>
    <c:legend>
      <c:legendPos val="r"/>
      <c:layout>
        <c:manualLayout>
          <c:xMode val="edge"/>
          <c:yMode val="edge"/>
          <c:x val="1.4055352670838709E-2"/>
          <c:y val="2.8215009507447399E-2"/>
          <c:w val="0.23154844912869443"/>
          <c:h val="0.213894979734699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chart" Target="../charts/chart1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4.png"/><Relationship Id="rId5" Type="http://schemas.openxmlformats.org/officeDocument/2006/relationships/chart" Target="../charts/chart9.xml"/><Relationship Id="rId10" Type="http://schemas.openxmlformats.org/officeDocument/2006/relationships/image" Target="../media/image3.png"/><Relationship Id="rId4" Type="http://schemas.openxmlformats.org/officeDocument/2006/relationships/chart" Target="../charts/chart8.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157534</xdr:colOff>
      <xdr:row>2</xdr:row>
      <xdr:rowOff>16234</xdr:rowOff>
    </xdr:from>
    <xdr:to>
      <xdr:col>15</xdr:col>
      <xdr:colOff>636104</xdr:colOff>
      <xdr:row>17</xdr:row>
      <xdr:rowOff>130534</xdr:rowOff>
    </xdr:to>
    <xdr:graphicFrame macro="">
      <xdr:nvGraphicFramePr>
        <xdr:cNvPr id="2" name="Chart 1">
          <a:extLst>
            <a:ext uri="{FF2B5EF4-FFF2-40B4-BE49-F238E27FC236}">
              <a16:creationId xmlns:a16="http://schemas.microsoft.com/office/drawing/2014/main" id="{FA16AF91-9E8C-4752-B83C-73C312C20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1152941</xdr:colOff>
      <xdr:row>20</xdr:row>
      <xdr:rowOff>79513</xdr:rowOff>
    </xdr:from>
    <xdr:to>
      <xdr:col>11</xdr:col>
      <xdr:colOff>411481</xdr:colOff>
      <xdr:row>39</xdr:row>
      <xdr:rowOff>132522</xdr:rowOff>
    </xdr:to>
    <xdr:graphicFrame macro="">
      <xdr:nvGraphicFramePr>
        <xdr:cNvPr id="3" name="Chart 2">
          <a:extLst>
            <a:ext uri="{FF2B5EF4-FFF2-40B4-BE49-F238E27FC236}">
              <a16:creationId xmlns:a16="http://schemas.microsoft.com/office/drawing/2014/main" id="{94A4E786-3A1E-4B15-87E3-40CD82A7A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278296</xdr:colOff>
      <xdr:row>6</xdr:row>
      <xdr:rowOff>159025</xdr:rowOff>
    </xdr:from>
    <xdr:to>
      <xdr:col>20</xdr:col>
      <xdr:colOff>496956</xdr:colOff>
      <xdr:row>18</xdr:row>
      <xdr:rowOff>72886</xdr:rowOff>
    </xdr:to>
    <xdr:graphicFrame macro="">
      <xdr:nvGraphicFramePr>
        <xdr:cNvPr id="4" name="Chart 3">
          <a:extLst>
            <a:ext uri="{FF2B5EF4-FFF2-40B4-BE49-F238E27FC236}">
              <a16:creationId xmlns:a16="http://schemas.microsoft.com/office/drawing/2014/main" id="{E6FC2318-6AB5-4237-BDAE-4FE964008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32658</xdr:colOff>
      <xdr:row>23</xdr:row>
      <xdr:rowOff>45908</xdr:rowOff>
    </xdr:from>
    <xdr:to>
      <xdr:col>23</xdr:col>
      <xdr:colOff>449154</xdr:colOff>
      <xdr:row>39</xdr:row>
      <xdr:rowOff>127314</xdr:rowOff>
    </xdr:to>
    <xdr:graphicFrame macro="">
      <xdr:nvGraphicFramePr>
        <xdr:cNvPr id="5" name="Chart 4">
          <a:extLst>
            <a:ext uri="{FF2B5EF4-FFF2-40B4-BE49-F238E27FC236}">
              <a16:creationId xmlns:a16="http://schemas.microsoft.com/office/drawing/2014/main" id="{7C57FC38-BB54-4555-9A10-ADD77CDCC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327146</xdr:colOff>
      <xdr:row>7</xdr:row>
      <xdr:rowOff>101844</xdr:rowOff>
    </xdr:from>
    <xdr:to>
      <xdr:col>29</xdr:col>
      <xdr:colOff>308829</xdr:colOff>
      <xdr:row>20</xdr:row>
      <xdr:rowOff>107705</xdr:rowOff>
    </xdr:to>
    <xdr:graphicFrame macro="">
      <xdr:nvGraphicFramePr>
        <xdr:cNvPr id="8" name="Chart 7">
          <a:extLst>
            <a:ext uri="{FF2B5EF4-FFF2-40B4-BE49-F238E27FC236}">
              <a16:creationId xmlns:a16="http://schemas.microsoft.com/office/drawing/2014/main" id="{AF910610-4819-4503-A53A-A6FDD4DB6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510209</xdr:colOff>
      <xdr:row>7</xdr:row>
      <xdr:rowOff>99389</xdr:rowOff>
    </xdr:from>
    <xdr:to>
      <xdr:col>34</xdr:col>
      <xdr:colOff>533400</xdr:colOff>
      <xdr:row>21</xdr:row>
      <xdr:rowOff>13251</xdr:rowOff>
    </xdr:to>
    <xdr:graphicFrame macro="">
      <xdr:nvGraphicFramePr>
        <xdr:cNvPr id="9" name="Chart 8">
          <a:extLst>
            <a:ext uri="{FF2B5EF4-FFF2-40B4-BE49-F238E27FC236}">
              <a16:creationId xmlns:a16="http://schemas.microsoft.com/office/drawing/2014/main" id="{96020D7E-ABA9-4AE4-802F-EBF4CD5EF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188667</xdr:colOff>
      <xdr:row>11</xdr:row>
      <xdr:rowOff>114097</xdr:rowOff>
    </xdr:from>
    <xdr:to>
      <xdr:col>40</xdr:col>
      <xdr:colOff>618565</xdr:colOff>
      <xdr:row>26</xdr:row>
      <xdr:rowOff>155660</xdr:rowOff>
    </xdr:to>
    <xdr:graphicFrame macro="">
      <xdr:nvGraphicFramePr>
        <xdr:cNvPr id="12" name="Chart 11">
          <a:extLst>
            <a:ext uri="{FF2B5EF4-FFF2-40B4-BE49-F238E27FC236}">
              <a16:creationId xmlns:a16="http://schemas.microsoft.com/office/drawing/2014/main" id="{D520625E-CB0B-4C85-99D4-F41C88B9B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435429</xdr:colOff>
      <xdr:row>6</xdr:row>
      <xdr:rowOff>15240</xdr:rowOff>
    </xdr:from>
    <xdr:to>
      <xdr:col>17</xdr:col>
      <xdr:colOff>21771</xdr:colOff>
      <xdr:row>40</xdr:row>
      <xdr:rowOff>152400</xdr:rowOff>
    </xdr:to>
    <mc:AlternateContent xmlns:mc="http://schemas.openxmlformats.org/markup-compatibility/2006">
      <mc:Choice xmlns:a14="http://schemas.microsoft.com/office/drawing/2010/main" Requires="a14">
        <xdr:graphicFrame macro="">
          <xdr:nvGraphicFramePr>
            <xdr:cNvPr id="13" name="Product_Name">
              <a:extLst>
                <a:ext uri="{FF2B5EF4-FFF2-40B4-BE49-F238E27FC236}">
                  <a16:creationId xmlns:a16="http://schemas.microsoft.com/office/drawing/2014/main" id="{FDD17414-F9C9-4341-8799-596514CA616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1370129" y="1043940"/>
              <a:ext cx="2253342" cy="5966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468085</xdr:colOff>
      <xdr:row>19</xdr:row>
      <xdr:rowOff>17417</xdr:rowOff>
    </xdr:from>
    <xdr:to>
      <xdr:col>18</xdr:col>
      <xdr:colOff>615044</xdr:colOff>
      <xdr:row>26</xdr:row>
      <xdr:rowOff>65314</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6B66E113-649A-4E1F-AE43-1C37CEB9DA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069785" y="3274967"/>
              <a:ext cx="1594759" cy="1248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478972</xdr:colOff>
      <xdr:row>27</xdr:row>
      <xdr:rowOff>6531</xdr:rowOff>
    </xdr:from>
    <xdr:to>
      <xdr:col>18</xdr:col>
      <xdr:colOff>756559</xdr:colOff>
      <xdr:row>33</xdr:row>
      <xdr:rowOff>97972</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C25460A4-EAD6-4B02-B589-7B84F9F004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237029" y="4709160"/>
              <a:ext cx="1719944" cy="1136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1383702</xdr:colOff>
      <xdr:row>1</xdr:row>
      <xdr:rowOff>39893</xdr:rowOff>
    </xdr:from>
    <xdr:to>
      <xdr:col>12</xdr:col>
      <xdr:colOff>120575</xdr:colOff>
      <xdr:row>3</xdr:row>
      <xdr:rowOff>234427</xdr:rowOff>
    </xdr:to>
    <xdr:sp macro="" textlink="">
      <xdr:nvSpPr>
        <xdr:cNvPr id="6" name="Rectangle 5">
          <a:extLst>
            <a:ext uri="{FF2B5EF4-FFF2-40B4-BE49-F238E27FC236}">
              <a16:creationId xmlns:a16="http://schemas.microsoft.com/office/drawing/2014/main" id="{E2968E48-6518-4DCD-8EB7-01D3652FBDE1}"/>
            </a:ext>
          </a:extLst>
        </xdr:cNvPr>
        <xdr:cNvSpPr/>
      </xdr:nvSpPr>
      <xdr:spPr>
        <a:xfrm>
          <a:off x="5489537" y="219187"/>
          <a:ext cx="5074920" cy="55312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perspectiveBelow"/>
            <a:lightRig rig="threePt" dir="t"/>
          </a:scene3d>
        </a:bodyPr>
        <a:lstStyle/>
        <a:p>
          <a:pPr algn="l"/>
          <a:r>
            <a:rPr lang="en-US" sz="2800" b="1" cap="none" spc="0">
              <a:ln w="6600">
                <a:solidFill>
                  <a:schemeClr val="accent2"/>
                </a:solidFill>
                <a:prstDash val="solid"/>
              </a:ln>
              <a:solidFill>
                <a:srgbClr val="00B050"/>
              </a:solidFill>
              <a:effectLst>
                <a:outerShdw dist="38100" dir="2700000" algn="tl" rotWithShape="0">
                  <a:schemeClr val="accent2"/>
                </a:outerShdw>
              </a:effectLst>
            </a:rPr>
            <a:t>Adidas</a:t>
          </a:r>
          <a:r>
            <a:rPr lang="en-US" sz="2800" b="1" cap="none" spc="0" baseline="0">
              <a:ln w="6600">
                <a:solidFill>
                  <a:schemeClr val="accent2"/>
                </a:solidFill>
                <a:prstDash val="solid"/>
              </a:ln>
              <a:solidFill>
                <a:srgbClr val="00B050"/>
              </a:solidFill>
              <a:effectLst>
                <a:outerShdw dist="38100" dir="2700000" algn="tl" rotWithShape="0">
                  <a:schemeClr val="accent2"/>
                </a:outerShdw>
              </a:effectLst>
            </a:rPr>
            <a:t> Sales Dashboard</a:t>
          </a:r>
          <a:endParaRPr lang="en-US" sz="2800" b="1" cap="none" spc="0">
            <a:ln w="6600">
              <a:solidFill>
                <a:schemeClr val="accent2"/>
              </a:solidFill>
              <a:prstDash val="solid"/>
            </a:ln>
            <a:solidFill>
              <a:srgbClr val="00B050"/>
            </a:solidFill>
            <a:effectLst>
              <a:outerShdw dist="38100" dir="2700000" algn="tl" rotWithShape="0">
                <a:schemeClr val="accent2"/>
              </a:outerShdw>
            </a:effectLst>
          </a:endParaRPr>
        </a:p>
      </xdr:txBody>
    </xdr:sp>
    <xdr:clientData/>
  </xdr:twoCellAnchor>
  <xdr:twoCellAnchor editAs="oneCell">
    <xdr:from>
      <xdr:col>8</xdr:col>
      <xdr:colOff>519701</xdr:colOff>
      <xdr:row>4</xdr:row>
      <xdr:rowOff>196693</xdr:rowOff>
    </xdr:from>
    <xdr:to>
      <xdr:col>10</xdr:col>
      <xdr:colOff>134686</xdr:colOff>
      <xdr:row>7</xdr:row>
      <xdr:rowOff>36673</xdr:rowOff>
    </xdr:to>
    <xdr:pic>
      <xdr:nvPicPr>
        <xdr:cNvPr id="14" name="Picture 13">
          <a:extLst>
            <a:ext uri="{FF2B5EF4-FFF2-40B4-BE49-F238E27FC236}">
              <a16:creationId xmlns:a16="http://schemas.microsoft.com/office/drawing/2014/main" id="{A94AF454-88AB-434E-BFFA-EA2DB92514C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627083" y="1027966"/>
          <a:ext cx="945021" cy="712816"/>
        </a:xfrm>
        <a:prstGeom prst="rect">
          <a:avLst/>
        </a:prstGeom>
      </xdr:spPr>
    </xdr:pic>
    <xdr:clientData/>
  </xdr:twoCellAnchor>
  <xdr:twoCellAnchor editAs="oneCell">
    <xdr:from>
      <xdr:col>15</xdr:col>
      <xdr:colOff>545837</xdr:colOff>
      <xdr:row>0</xdr:row>
      <xdr:rowOff>3587</xdr:rowOff>
    </xdr:from>
    <xdr:to>
      <xdr:col>18</xdr:col>
      <xdr:colOff>143436</xdr:colOff>
      <xdr:row>4</xdr:row>
      <xdr:rowOff>41686</xdr:rowOff>
    </xdr:to>
    <xdr:pic>
      <xdr:nvPicPr>
        <xdr:cNvPr id="20" name="Picture 19">
          <a:extLst>
            <a:ext uri="{FF2B5EF4-FFF2-40B4-BE49-F238E27FC236}">
              <a16:creationId xmlns:a16="http://schemas.microsoft.com/office/drawing/2014/main" id="{983FE28A-2175-409B-9139-B0413D340F99}"/>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3006778" y="3587"/>
          <a:ext cx="2304940" cy="862852"/>
        </a:xfrm>
        <a:prstGeom prst="rect">
          <a:avLst/>
        </a:prstGeom>
      </xdr:spPr>
    </xdr:pic>
    <xdr:clientData/>
  </xdr:twoCellAnchor>
  <xdr:twoCellAnchor editAs="oneCell">
    <xdr:from>
      <xdr:col>1</xdr:col>
      <xdr:colOff>53789</xdr:colOff>
      <xdr:row>13</xdr:row>
      <xdr:rowOff>23536</xdr:rowOff>
    </xdr:from>
    <xdr:to>
      <xdr:col>2</xdr:col>
      <xdr:colOff>143435</xdr:colOff>
      <xdr:row>19</xdr:row>
      <xdr:rowOff>134472</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5DAD961F-C66A-4EE9-B71F-AA3A8DE8685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3789" y="2709586"/>
              <a:ext cx="1575546" cy="1139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51867</xdr:colOff>
      <xdr:row>6</xdr:row>
      <xdr:rowOff>152457</xdr:rowOff>
    </xdr:from>
    <xdr:to>
      <xdr:col>2</xdr:col>
      <xdr:colOff>161364</xdr:colOff>
      <xdr:row>12</xdr:row>
      <xdr:rowOff>152401</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2381BA47-C340-4A3B-B6F1-4513A3282E7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1867" y="1524057"/>
              <a:ext cx="1595397" cy="1142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35859</xdr:colOff>
      <xdr:row>20</xdr:row>
      <xdr:rowOff>26994</xdr:rowOff>
    </xdr:from>
    <xdr:to>
      <xdr:col>2</xdr:col>
      <xdr:colOff>112444</xdr:colOff>
      <xdr:row>51</xdr:row>
      <xdr:rowOff>113165</xdr:rowOff>
    </xdr:to>
    <mc:AlternateContent xmlns:mc="http://schemas.openxmlformats.org/markup-compatibility/2006">
      <mc:Choice xmlns:a14="http://schemas.microsoft.com/office/drawing/2010/main" Requires="a14">
        <xdr:graphicFrame macro="">
          <xdr:nvGraphicFramePr>
            <xdr:cNvPr id="11" name="Product_Name 1">
              <a:extLst>
                <a:ext uri="{FF2B5EF4-FFF2-40B4-BE49-F238E27FC236}">
                  <a16:creationId xmlns:a16="http://schemas.microsoft.com/office/drawing/2014/main" id="{A92BC964-AB26-4886-A283-63F5CD8EF69D}"/>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35859" y="3913194"/>
              <a:ext cx="1562485" cy="5401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268940</xdr:colOff>
      <xdr:row>22</xdr:row>
      <xdr:rowOff>62752</xdr:rowOff>
    </xdr:from>
    <xdr:to>
      <xdr:col>7</xdr:col>
      <xdr:colOff>242048</xdr:colOff>
      <xdr:row>36</xdr:row>
      <xdr:rowOff>35858</xdr:rowOff>
    </xdr:to>
    <xdr:graphicFrame macro="">
      <xdr:nvGraphicFramePr>
        <xdr:cNvPr id="13" name="Chart 12">
          <a:extLst>
            <a:ext uri="{FF2B5EF4-FFF2-40B4-BE49-F238E27FC236}">
              <a16:creationId xmlns:a16="http://schemas.microsoft.com/office/drawing/2014/main" id="{9278B0BE-2D15-4DF2-8EA1-71B9C2874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266701</xdr:colOff>
      <xdr:row>36</xdr:row>
      <xdr:rowOff>76200</xdr:rowOff>
    </xdr:from>
    <xdr:to>
      <xdr:col>7</xdr:col>
      <xdr:colOff>206189</xdr:colOff>
      <xdr:row>51</xdr:row>
      <xdr:rowOff>89647</xdr:rowOff>
    </xdr:to>
    <xdr:graphicFrame macro="">
      <xdr:nvGraphicFramePr>
        <xdr:cNvPr id="15" name="Chart 14">
          <a:extLst>
            <a:ext uri="{FF2B5EF4-FFF2-40B4-BE49-F238E27FC236}">
              <a16:creationId xmlns:a16="http://schemas.microsoft.com/office/drawing/2014/main" id="{E3B2B02F-C760-42FE-9FBF-D397EC10A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259975</xdr:colOff>
      <xdr:row>6</xdr:row>
      <xdr:rowOff>134470</xdr:rowOff>
    </xdr:from>
    <xdr:to>
      <xdr:col>19</xdr:col>
      <xdr:colOff>250371</xdr:colOff>
      <xdr:row>22</xdr:row>
      <xdr:rowOff>17930</xdr:rowOff>
    </xdr:to>
    <xdr:graphicFrame macro="">
      <xdr:nvGraphicFramePr>
        <xdr:cNvPr id="16" name="Chart 15">
          <a:extLst>
            <a:ext uri="{FF2B5EF4-FFF2-40B4-BE49-F238E27FC236}">
              <a16:creationId xmlns:a16="http://schemas.microsoft.com/office/drawing/2014/main" id="{E31F6EA0-403C-4411-B34B-4ADCF6318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331696</xdr:colOff>
      <xdr:row>22</xdr:row>
      <xdr:rowOff>98614</xdr:rowOff>
    </xdr:from>
    <xdr:to>
      <xdr:col>11</xdr:col>
      <xdr:colOff>699247</xdr:colOff>
      <xdr:row>51</xdr:row>
      <xdr:rowOff>76201</xdr:rowOff>
    </xdr:to>
    <xdr:graphicFrame macro="">
      <xdr:nvGraphicFramePr>
        <xdr:cNvPr id="18" name="Chart 17">
          <a:extLst>
            <a:ext uri="{FF2B5EF4-FFF2-40B4-BE49-F238E27FC236}">
              <a16:creationId xmlns:a16="http://schemas.microsoft.com/office/drawing/2014/main" id="{1D89103A-3EE2-4027-A260-5FE12296A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772886</xdr:colOff>
      <xdr:row>22</xdr:row>
      <xdr:rowOff>97972</xdr:rowOff>
    </xdr:from>
    <xdr:to>
      <xdr:col>19</xdr:col>
      <xdr:colOff>326571</xdr:colOff>
      <xdr:row>37</xdr:row>
      <xdr:rowOff>98714</xdr:rowOff>
    </xdr:to>
    <xdr:graphicFrame macro="">
      <xdr:nvGraphicFramePr>
        <xdr:cNvPr id="19" name="Chart 18">
          <a:extLst>
            <a:ext uri="{FF2B5EF4-FFF2-40B4-BE49-F238E27FC236}">
              <a16:creationId xmlns:a16="http://schemas.microsoft.com/office/drawing/2014/main" id="{AF08DEAE-7B1E-4740-BA46-B6A638CB4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805543</xdr:colOff>
      <xdr:row>37</xdr:row>
      <xdr:rowOff>163286</xdr:rowOff>
    </xdr:from>
    <xdr:to>
      <xdr:col>19</xdr:col>
      <xdr:colOff>326571</xdr:colOff>
      <xdr:row>51</xdr:row>
      <xdr:rowOff>21772</xdr:rowOff>
    </xdr:to>
    <xdr:graphicFrame macro="">
      <xdr:nvGraphicFramePr>
        <xdr:cNvPr id="22" name="Chart 21">
          <a:extLst>
            <a:ext uri="{FF2B5EF4-FFF2-40B4-BE49-F238E27FC236}">
              <a16:creationId xmlns:a16="http://schemas.microsoft.com/office/drawing/2014/main" id="{C22313F1-1D52-48DB-89AD-0F927DFF4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0</xdr:rowOff>
    </xdr:from>
    <xdr:to>
      <xdr:col>3</xdr:col>
      <xdr:colOff>189269</xdr:colOff>
      <xdr:row>4</xdr:row>
      <xdr:rowOff>38099</xdr:rowOff>
    </xdr:to>
    <xdr:pic>
      <xdr:nvPicPr>
        <xdr:cNvPr id="23" name="Picture 22">
          <a:extLst>
            <a:ext uri="{FF2B5EF4-FFF2-40B4-BE49-F238E27FC236}">
              <a16:creationId xmlns:a16="http://schemas.microsoft.com/office/drawing/2014/main" id="{4E4F06D1-7D20-4B54-ABAE-0DE7F30D0BE5}"/>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0" y="0"/>
          <a:ext cx="2304940" cy="862852"/>
        </a:xfrm>
        <a:prstGeom prst="rect">
          <a:avLst/>
        </a:prstGeom>
      </xdr:spPr>
    </xdr:pic>
    <xdr:clientData/>
  </xdr:twoCellAnchor>
  <xdr:twoCellAnchor editAs="oneCell">
    <xdr:from>
      <xdr:col>2</xdr:col>
      <xdr:colOff>221673</xdr:colOff>
      <xdr:row>4</xdr:row>
      <xdr:rowOff>235527</xdr:rowOff>
    </xdr:from>
    <xdr:to>
      <xdr:col>2</xdr:col>
      <xdr:colOff>619901</xdr:colOff>
      <xdr:row>6</xdr:row>
      <xdr:rowOff>52177</xdr:rowOff>
    </xdr:to>
    <xdr:pic>
      <xdr:nvPicPr>
        <xdr:cNvPr id="24" name="Picture 23">
          <a:extLst>
            <a:ext uri="{FF2B5EF4-FFF2-40B4-BE49-F238E27FC236}">
              <a16:creationId xmlns:a16="http://schemas.microsoft.com/office/drawing/2014/main" id="{E3AF0480-AD03-421E-A63E-D93CFE19193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17964" y="1066800"/>
          <a:ext cx="398228" cy="398541"/>
        </a:xfrm>
        <a:prstGeom prst="rect">
          <a:avLst/>
        </a:prstGeom>
      </xdr:spPr>
    </xdr:pic>
    <xdr:clientData/>
  </xdr:twoCellAnchor>
  <xdr:twoCellAnchor editAs="oneCell">
    <xdr:from>
      <xdr:col>16</xdr:col>
      <xdr:colOff>152401</xdr:colOff>
      <xdr:row>4</xdr:row>
      <xdr:rowOff>57320</xdr:rowOff>
    </xdr:from>
    <xdr:to>
      <xdr:col>17</xdr:col>
      <xdr:colOff>44699</xdr:colOff>
      <xdr:row>6</xdr:row>
      <xdr:rowOff>146710</xdr:rowOff>
    </xdr:to>
    <xdr:pic>
      <xdr:nvPicPr>
        <xdr:cNvPr id="25" name="Picture 24">
          <a:extLst>
            <a:ext uri="{FF2B5EF4-FFF2-40B4-BE49-F238E27FC236}">
              <a16:creationId xmlns:a16="http://schemas.microsoft.com/office/drawing/2014/main" id="{402AFF51-312F-4A3B-A17F-7D621CC5599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103928" y="888593"/>
          <a:ext cx="557316" cy="67128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dy Abd El Hamed Mahdy" refreshedDate="46181.497735185185" createdVersion="7" refreshedVersion="7" minRefreshableVersion="3" recordCount="1201" xr:uid="{021DBF5C-96E3-4E4F-8E70-F5F42F2B94FF}">
  <cacheSource type="worksheet">
    <worksheetSource ref="A1:O1048576" sheet="Adidas-US-Interactive-Sales-Pro"/>
  </cacheSource>
  <cacheFields count="17">
    <cacheField name="Order_ID" numFmtId="0">
      <sharedItems containsString="0" containsBlank="1" containsNumber="1" containsInteger="1" minValue="100000" maxValue="101199"/>
    </cacheField>
    <cacheField name="Order_Date" numFmtId="0">
      <sharedItems containsNonDate="0" containsDate="1" containsString="0" containsBlank="1" minDate="2023-01-02T00:00:00" maxDate="2025-10-01T00:00:00" count="722">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m/>
      </sharedItems>
      <fieldGroup par="16" base="1">
        <rangePr groupBy="months" startDate="2023-01-02T00:00:00" endDate="2025-10-01T00:00:00"/>
        <groupItems count="14">
          <s v="(blank)"/>
          <s v="Jan"/>
          <s v="Feb"/>
          <s v="Mar"/>
          <s v="Apr"/>
          <s v="May"/>
          <s v="Jun"/>
          <s v="Jul"/>
          <s v="Aug"/>
          <s v="Sept"/>
          <s v="Oct"/>
          <s v="Nov"/>
          <s v="Dec"/>
          <s v="&gt;01/10/2025"/>
        </groupItems>
      </fieldGroup>
    </cacheField>
    <cacheField name="SKU" numFmtId="0">
      <sharedItems containsBlank="1"/>
    </cacheField>
    <cacheField name="Product_Name" numFmtId="0">
      <sharedItems containsBlank="1" count="21">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m/>
      </sharedItems>
    </cacheField>
    <cacheField name="Category" numFmtId="0">
      <sharedItems containsBlank="1" count="4">
        <s v="Apparel"/>
        <s v="Footwear"/>
        <s v="Accessories"/>
        <m/>
      </sharedItems>
    </cacheField>
    <cacheField name="Region" numFmtId="0">
      <sharedItems containsBlank="1" count="6">
        <s v="Egypt"/>
        <s v="Oman"/>
        <s v="KSA"/>
        <s v="Lebanon"/>
        <s v="Iraq"/>
        <m/>
      </sharedItems>
    </cacheField>
    <cacheField name="Store_Type" numFmtId="0">
      <sharedItems containsBlank="1" count="5">
        <s v="Online"/>
        <s v="Retail"/>
        <s v="Outlet"/>
        <s v="Wholesale"/>
        <m/>
      </sharedItems>
    </cacheField>
    <cacheField name="Units_Sold" numFmtId="0">
      <sharedItems containsString="0" containsBlank="1" containsNumber="1" containsInteger="1" minValue="1" maxValue="7"/>
    </cacheField>
    <cacheField name="Unit_Price" numFmtId="0">
      <sharedItems containsString="0" containsBlank="1" containsNumber="1" minValue="12" maxValue="252.89"/>
    </cacheField>
    <cacheField name="Discount" numFmtId="0">
      <sharedItems containsString="0" containsBlank="1" containsNumber="1" containsInteger="1" minValue="0" maxValue="40" count="6">
        <n v="0"/>
        <n v="20"/>
        <n v="10"/>
        <n v="5"/>
        <n v="40"/>
        <m/>
      </sharedItems>
    </cacheField>
    <cacheField name="Revenue" numFmtId="0">
      <sharedItems containsString="0" containsBlank="1" containsNumber="1" minValue="12.19" maxValue="1526.11"/>
    </cacheField>
    <cacheField name="Profit" numFmtId="0">
      <sharedItems containsString="0" containsBlank="1" containsNumber="1" minValue="3.03" maxValue="393.25" count="1156">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m/>
      </sharedItems>
    </cacheField>
    <cacheField name="Customer_Age" numFmtId="0">
      <sharedItems containsString="0" containsBlank="1" containsNumber="1" containsInteger="1" minValue="16" maxValue="54" count="39">
        <n v="35"/>
        <n v="48"/>
        <n v="34"/>
        <n v="30"/>
        <n v="32"/>
        <n v="29"/>
        <n v="49"/>
        <n v="27"/>
        <n v="33"/>
        <n v="25"/>
        <n v="18"/>
        <n v="39"/>
        <n v="42"/>
        <n v="36"/>
        <n v="51"/>
        <n v="21"/>
        <n v="16"/>
        <n v="37"/>
        <n v="26"/>
        <n v="24"/>
        <n v="20"/>
        <n v="31"/>
        <n v="19"/>
        <n v="22"/>
        <n v="41"/>
        <n v="23"/>
        <n v="17"/>
        <n v="28"/>
        <n v="38"/>
        <n v="44"/>
        <n v="43"/>
        <n v="40"/>
        <n v="47"/>
        <n v="46"/>
        <n v="45"/>
        <n v="50"/>
        <n v="52"/>
        <n v="54"/>
        <m/>
      </sharedItems>
    </cacheField>
    <cacheField name="Gender" numFmtId="0">
      <sharedItems containsBlank="1" count="4">
        <s v="Female"/>
        <s v="Male"/>
        <s v="Other"/>
        <m/>
      </sharedItems>
    </cacheField>
    <cacheField name="Payment_Method" numFmtId="0">
      <sharedItems containsBlank="1" count="9">
        <s v="NetBanking"/>
        <s v="Debit Card"/>
        <s v="Apple Pay"/>
        <s v="PayPal"/>
        <s v="Cash"/>
        <s v="Google Pay"/>
        <s v="UPI"/>
        <s v="Credit Card"/>
        <m/>
      </sharedItems>
    </cacheField>
    <cacheField name="Quarters" numFmtId="0" databaseField="0">
      <fieldGroup base="1">
        <rangePr groupBy="quarters" startDate="2023-01-02T00:00:00" endDate="2025-10-01T00:00:00"/>
        <groupItems count="6">
          <s v="&lt;02/01/2023"/>
          <s v="Qtr1"/>
          <s v="Qtr2"/>
          <s v="Qtr3"/>
          <s v="Qtr4"/>
          <s v="&gt;01/10/2025"/>
        </groupItems>
      </fieldGroup>
    </cacheField>
    <cacheField name="Years"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1252767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101178"/>
    <x v="0"/>
    <s v="AD-1877-D"/>
    <x v="0"/>
    <x v="0"/>
    <x v="0"/>
    <x v="0"/>
    <n v="5"/>
    <n v="49.68"/>
    <x v="0"/>
    <n v="248.4"/>
    <x v="0"/>
    <x v="0"/>
    <x v="0"/>
    <x v="0"/>
  </r>
  <r>
    <n v="100865"/>
    <x v="1"/>
    <s v="AD-1745-B"/>
    <x v="1"/>
    <x v="0"/>
    <x v="1"/>
    <x v="0"/>
    <n v="2"/>
    <n v="27.07"/>
    <x v="0"/>
    <n v="54.14"/>
    <x v="1"/>
    <x v="1"/>
    <x v="0"/>
    <x v="0"/>
  </r>
  <r>
    <n v="100101"/>
    <x v="2"/>
    <s v="AD-8110-A"/>
    <x v="2"/>
    <x v="1"/>
    <x v="0"/>
    <x v="0"/>
    <n v="3"/>
    <n v="96.58"/>
    <x v="1"/>
    <n v="231.79"/>
    <x v="2"/>
    <x v="2"/>
    <x v="1"/>
    <x v="1"/>
  </r>
  <r>
    <n v="100439"/>
    <x v="3"/>
    <s v="AD-4892-C"/>
    <x v="3"/>
    <x v="2"/>
    <x v="2"/>
    <x v="1"/>
    <n v="5"/>
    <n v="17.489999999999998"/>
    <x v="2"/>
    <n v="78.7"/>
    <x v="3"/>
    <x v="3"/>
    <x v="0"/>
    <x v="2"/>
  </r>
  <r>
    <n v="100058"/>
    <x v="4"/>
    <s v="AD-8657-B"/>
    <x v="4"/>
    <x v="2"/>
    <x v="1"/>
    <x v="1"/>
    <n v="3"/>
    <n v="58.96"/>
    <x v="3"/>
    <n v="168.04"/>
    <x v="4"/>
    <x v="3"/>
    <x v="0"/>
    <x v="3"/>
  </r>
  <r>
    <n v="101120"/>
    <x v="5"/>
    <s v="AD-5267-A"/>
    <x v="5"/>
    <x v="0"/>
    <x v="1"/>
    <x v="0"/>
    <n v="1"/>
    <n v="72.5"/>
    <x v="3"/>
    <n v="68.88"/>
    <x v="5"/>
    <x v="4"/>
    <x v="0"/>
    <x v="2"/>
  </r>
  <r>
    <n v="100323"/>
    <x v="6"/>
    <s v="AD-3735-C"/>
    <x v="6"/>
    <x v="1"/>
    <x v="0"/>
    <x v="0"/>
    <n v="4"/>
    <n v="182.16"/>
    <x v="0"/>
    <n v="728.64"/>
    <x v="6"/>
    <x v="5"/>
    <x v="0"/>
    <x v="0"/>
  </r>
  <r>
    <n v="100974"/>
    <x v="7"/>
    <s v="AD-7305-C"/>
    <x v="4"/>
    <x v="2"/>
    <x v="3"/>
    <x v="1"/>
    <n v="3"/>
    <n v="57.19"/>
    <x v="0"/>
    <n v="171.57"/>
    <x v="7"/>
    <x v="6"/>
    <x v="0"/>
    <x v="1"/>
  </r>
  <r>
    <n v="100411"/>
    <x v="8"/>
    <s v="AD-4842-A"/>
    <x v="7"/>
    <x v="1"/>
    <x v="1"/>
    <x v="0"/>
    <n v="3"/>
    <n v="152.09"/>
    <x v="2"/>
    <n v="410.64"/>
    <x v="8"/>
    <x v="7"/>
    <x v="0"/>
    <x v="4"/>
  </r>
  <r>
    <n v="100855"/>
    <x v="9"/>
    <s v="AD-2386-C"/>
    <x v="8"/>
    <x v="2"/>
    <x v="4"/>
    <x v="1"/>
    <n v="1"/>
    <n v="15.26"/>
    <x v="1"/>
    <n v="12.21"/>
    <x v="9"/>
    <x v="8"/>
    <x v="1"/>
    <x v="5"/>
  </r>
  <r>
    <n v="100820"/>
    <x v="10"/>
    <s v="AD-3148-C"/>
    <x v="3"/>
    <x v="2"/>
    <x v="4"/>
    <x v="2"/>
    <n v="1"/>
    <n v="18.61"/>
    <x v="1"/>
    <n v="14.89"/>
    <x v="10"/>
    <x v="9"/>
    <x v="1"/>
    <x v="5"/>
  </r>
  <r>
    <n v="100044"/>
    <x v="11"/>
    <s v="AD-2146-C"/>
    <x v="8"/>
    <x v="2"/>
    <x v="3"/>
    <x v="1"/>
    <n v="1"/>
    <n v="14.47"/>
    <x v="0"/>
    <n v="14.47"/>
    <x v="11"/>
    <x v="2"/>
    <x v="1"/>
    <x v="2"/>
  </r>
  <r>
    <n v="100049"/>
    <x v="12"/>
    <s v="AD-8784-A"/>
    <x v="5"/>
    <x v="0"/>
    <x v="4"/>
    <x v="0"/>
    <n v="2"/>
    <n v="64.260000000000005"/>
    <x v="0"/>
    <n v="128.52000000000001"/>
    <x v="12"/>
    <x v="10"/>
    <x v="1"/>
    <x v="6"/>
  </r>
  <r>
    <n v="100849"/>
    <x v="13"/>
    <s v="AD-6074-D"/>
    <x v="9"/>
    <x v="2"/>
    <x v="1"/>
    <x v="0"/>
    <n v="5"/>
    <n v="21.03"/>
    <x v="2"/>
    <n v="94.64"/>
    <x v="13"/>
    <x v="11"/>
    <x v="1"/>
    <x v="5"/>
  </r>
  <r>
    <n v="100240"/>
    <x v="14"/>
    <s v="AD-4836-C"/>
    <x v="5"/>
    <x v="0"/>
    <x v="0"/>
    <x v="1"/>
    <n v="2"/>
    <n v="64.45"/>
    <x v="0"/>
    <n v="128.9"/>
    <x v="14"/>
    <x v="12"/>
    <x v="1"/>
    <x v="0"/>
  </r>
  <r>
    <n v="100170"/>
    <x v="15"/>
    <s v="AD-4941-D"/>
    <x v="10"/>
    <x v="2"/>
    <x v="0"/>
    <x v="0"/>
    <n v="4"/>
    <n v="44.19"/>
    <x v="0"/>
    <n v="176.76"/>
    <x v="15"/>
    <x v="13"/>
    <x v="1"/>
    <x v="4"/>
  </r>
  <r>
    <n v="100523"/>
    <x v="16"/>
    <s v="AD-6044-C"/>
    <x v="8"/>
    <x v="2"/>
    <x v="1"/>
    <x v="1"/>
    <n v="4"/>
    <n v="13.98"/>
    <x v="3"/>
    <n v="53.12"/>
    <x v="16"/>
    <x v="14"/>
    <x v="0"/>
    <x v="5"/>
  </r>
  <r>
    <n v="100765"/>
    <x v="17"/>
    <s v="AD-4867-A"/>
    <x v="11"/>
    <x v="0"/>
    <x v="2"/>
    <x v="0"/>
    <n v="3"/>
    <n v="31"/>
    <x v="0"/>
    <n v="93"/>
    <x v="17"/>
    <x v="15"/>
    <x v="0"/>
    <x v="3"/>
  </r>
  <r>
    <n v="100838"/>
    <x v="18"/>
    <s v="AD-4954-C"/>
    <x v="8"/>
    <x v="2"/>
    <x v="1"/>
    <x v="1"/>
    <n v="2"/>
    <n v="15.85"/>
    <x v="3"/>
    <n v="30.11"/>
    <x v="18"/>
    <x v="0"/>
    <x v="1"/>
    <x v="0"/>
  </r>
  <r>
    <n v="100423"/>
    <x v="19"/>
    <s v="AD-2442-D"/>
    <x v="12"/>
    <x v="0"/>
    <x v="4"/>
    <x v="1"/>
    <n v="5"/>
    <n v="150.72999999999999"/>
    <x v="3"/>
    <n v="715.97"/>
    <x v="19"/>
    <x v="12"/>
    <x v="0"/>
    <x v="5"/>
  </r>
  <r>
    <n v="100380"/>
    <x v="20"/>
    <s v="AD-8259-C"/>
    <x v="9"/>
    <x v="2"/>
    <x v="0"/>
    <x v="3"/>
    <n v="2"/>
    <n v="19.09"/>
    <x v="0"/>
    <n v="38.18"/>
    <x v="20"/>
    <x v="3"/>
    <x v="1"/>
    <x v="0"/>
  </r>
  <r>
    <n v="100609"/>
    <x v="21"/>
    <s v="AD-2084-B"/>
    <x v="13"/>
    <x v="0"/>
    <x v="4"/>
    <x v="1"/>
    <n v="6"/>
    <n v="129.94999999999999"/>
    <x v="0"/>
    <n v="779.7"/>
    <x v="21"/>
    <x v="4"/>
    <x v="1"/>
    <x v="4"/>
  </r>
  <r>
    <n v="100676"/>
    <x v="22"/>
    <s v="AD-1616-B"/>
    <x v="14"/>
    <x v="1"/>
    <x v="0"/>
    <x v="1"/>
    <n v="3"/>
    <n v="226.72"/>
    <x v="1"/>
    <n v="544.13"/>
    <x v="22"/>
    <x v="16"/>
    <x v="1"/>
    <x v="3"/>
  </r>
  <r>
    <n v="100344"/>
    <x v="23"/>
    <s v="AD-9128-A"/>
    <x v="15"/>
    <x v="1"/>
    <x v="4"/>
    <x v="3"/>
    <n v="3"/>
    <n v="146.78"/>
    <x v="0"/>
    <n v="440.34"/>
    <x v="23"/>
    <x v="12"/>
    <x v="1"/>
    <x v="2"/>
  </r>
  <r>
    <n v="100109"/>
    <x v="24"/>
    <s v="AD-2591-A"/>
    <x v="11"/>
    <x v="0"/>
    <x v="4"/>
    <x v="0"/>
    <n v="3"/>
    <n v="28.99"/>
    <x v="1"/>
    <n v="69.58"/>
    <x v="24"/>
    <x v="17"/>
    <x v="0"/>
    <x v="3"/>
  </r>
  <r>
    <n v="100277"/>
    <x v="25"/>
    <s v="AD-9180-B"/>
    <x v="16"/>
    <x v="1"/>
    <x v="4"/>
    <x v="1"/>
    <n v="4"/>
    <n v="34.950000000000003"/>
    <x v="3"/>
    <n v="132.81"/>
    <x v="25"/>
    <x v="18"/>
    <x v="0"/>
    <x v="2"/>
  </r>
  <r>
    <n v="100677"/>
    <x v="26"/>
    <s v="AD-1074-B"/>
    <x v="9"/>
    <x v="2"/>
    <x v="4"/>
    <x v="2"/>
    <n v="4"/>
    <n v="22.08"/>
    <x v="0"/>
    <n v="88.32"/>
    <x v="26"/>
    <x v="19"/>
    <x v="1"/>
    <x v="2"/>
  </r>
  <r>
    <n v="100570"/>
    <x v="27"/>
    <s v="AD-1136-A"/>
    <x v="7"/>
    <x v="1"/>
    <x v="4"/>
    <x v="1"/>
    <n v="3"/>
    <n v="146.31"/>
    <x v="2"/>
    <n v="395.04"/>
    <x v="27"/>
    <x v="20"/>
    <x v="1"/>
    <x v="5"/>
  </r>
  <r>
    <n v="100358"/>
    <x v="28"/>
    <s v="AD-2705-D"/>
    <x v="17"/>
    <x v="2"/>
    <x v="0"/>
    <x v="3"/>
    <n v="1"/>
    <n v="41.79"/>
    <x v="2"/>
    <n v="37.61"/>
    <x v="28"/>
    <x v="5"/>
    <x v="0"/>
    <x v="6"/>
  </r>
  <r>
    <n v="100598"/>
    <x v="29"/>
    <s v="AD-8460-C"/>
    <x v="7"/>
    <x v="1"/>
    <x v="0"/>
    <x v="1"/>
    <n v="3"/>
    <n v="136.5"/>
    <x v="0"/>
    <n v="409.5"/>
    <x v="29"/>
    <x v="21"/>
    <x v="0"/>
    <x v="3"/>
  </r>
  <r>
    <n v="100390"/>
    <x v="18"/>
    <s v="AD-2045-C"/>
    <x v="11"/>
    <x v="0"/>
    <x v="0"/>
    <x v="0"/>
    <n v="4"/>
    <n v="28.95"/>
    <x v="0"/>
    <n v="115.8"/>
    <x v="30"/>
    <x v="10"/>
    <x v="0"/>
    <x v="5"/>
  </r>
  <r>
    <n v="100893"/>
    <x v="30"/>
    <s v="AD-4654-B"/>
    <x v="7"/>
    <x v="1"/>
    <x v="2"/>
    <x v="2"/>
    <n v="5"/>
    <n v="160.34"/>
    <x v="2"/>
    <n v="721.53"/>
    <x v="31"/>
    <x v="11"/>
    <x v="1"/>
    <x v="7"/>
  </r>
  <r>
    <n v="100692"/>
    <x v="31"/>
    <s v="AD-8452-D"/>
    <x v="2"/>
    <x v="1"/>
    <x v="0"/>
    <x v="0"/>
    <n v="3"/>
    <n v="84.09"/>
    <x v="2"/>
    <n v="227.04"/>
    <x v="32"/>
    <x v="3"/>
    <x v="1"/>
    <x v="7"/>
  </r>
  <r>
    <n v="100727"/>
    <x v="32"/>
    <s v="AD-6104-C"/>
    <x v="3"/>
    <x v="2"/>
    <x v="4"/>
    <x v="0"/>
    <n v="4"/>
    <n v="18.77"/>
    <x v="0"/>
    <n v="75.08"/>
    <x v="33"/>
    <x v="2"/>
    <x v="1"/>
    <x v="4"/>
  </r>
  <r>
    <n v="100362"/>
    <x v="33"/>
    <s v="AD-5831-A"/>
    <x v="17"/>
    <x v="2"/>
    <x v="0"/>
    <x v="0"/>
    <n v="4"/>
    <n v="39.46"/>
    <x v="0"/>
    <n v="157.84"/>
    <x v="34"/>
    <x v="15"/>
    <x v="1"/>
    <x v="7"/>
  </r>
  <r>
    <n v="100596"/>
    <x v="34"/>
    <s v="AD-1601-B"/>
    <x v="8"/>
    <x v="2"/>
    <x v="4"/>
    <x v="0"/>
    <n v="1"/>
    <n v="13.56"/>
    <x v="0"/>
    <n v="13.56"/>
    <x v="35"/>
    <x v="2"/>
    <x v="1"/>
    <x v="4"/>
  </r>
  <r>
    <n v="100427"/>
    <x v="35"/>
    <s v="AD-9973-C"/>
    <x v="18"/>
    <x v="1"/>
    <x v="4"/>
    <x v="0"/>
    <n v="2"/>
    <n v="87.17"/>
    <x v="0"/>
    <n v="174.34"/>
    <x v="36"/>
    <x v="18"/>
    <x v="0"/>
    <x v="0"/>
  </r>
  <r>
    <n v="100070"/>
    <x v="36"/>
    <s v="AD-1166-B"/>
    <x v="11"/>
    <x v="0"/>
    <x v="1"/>
    <x v="2"/>
    <n v="4"/>
    <n v="31.14"/>
    <x v="0"/>
    <n v="124.56"/>
    <x v="37"/>
    <x v="11"/>
    <x v="0"/>
    <x v="0"/>
  </r>
  <r>
    <n v="100321"/>
    <x v="37"/>
    <s v="AD-6081-D"/>
    <x v="14"/>
    <x v="1"/>
    <x v="1"/>
    <x v="1"/>
    <n v="4"/>
    <n v="233.68"/>
    <x v="0"/>
    <n v="934.72"/>
    <x v="38"/>
    <x v="22"/>
    <x v="0"/>
    <x v="1"/>
  </r>
  <r>
    <n v="100652"/>
    <x v="38"/>
    <s v="AD-4193-C"/>
    <x v="1"/>
    <x v="0"/>
    <x v="4"/>
    <x v="1"/>
    <n v="3"/>
    <n v="27.31"/>
    <x v="0"/>
    <n v="81.93"/>
    <x v="39"/>
    <x v="3"/>
    <x v="1"/>
    <x v="6"/>
  </r>
  <r>
    <n v="101065"/>
    <x v="39"/>
    <s v="AD-6247-B"/>
    <x v="2"/>
    <x v="1"/>
    <x v="2"/>
    <x v="3"/>
    <n v="7"/>
    <n v="95.23"/>
    <x v="0"/>
    <n v="666.61"/>
    <x v="40"/>
    <x v="19"/>
    <x v="0"/>
    <x v="3"/>
  </r>
  <r>
    <n v="100107"/>
    <x v="40"/>
    <s v="AD-7484-C"/>
    <x v="5"/>
    <x v="0"/>
    <x v="1"/>
    <x v="0"/>
    <n v="2"/>
    <n v="70.5"/>
    <x v="3"/>
    <n v="133.94999999999999"/>
    <x v="41"/>
    <x v="12"/>
    <x v="0"/>
    <x v="7"/>
  </r>
  <r>
    <n v="101108"/>
    <x v="41"/>
    <s v="AD-8517-D"/>
    <x v="11"/>
    <x v="0"/>
    <x v="1"/>
    <x v="3"/>
    <n v="5"/>
    <n v="34.01"/>
    <x v="0"/>
    <n v="170.05"/>
    <x v="42"/>
    <x v="16"/>
    <x v="1"/>
    <x v="3"/>
  </r>
  <r>
    <n v="100355"/>
    <x v="42"/>
    <s v="AD-6285-B"/>
    <x v="2"/>
    <x v="1"/>
    <x v="3"/>
    <x v="0"/>
    <n v="2"/>
    <n v="97.13"/>
    <x v="3"/>
    <n v="184.55"/>
    <x v="43"/>
    <x v="5"/>
    <x v="1"/>
    <x v="0"/>
  </r>
  <r>
    <n v="100950"/>
    <x v="43"/>
    <s v="AD-7524-D"/>
    <x v="3"/>
    <x v="2"/>
    <x v="4"/>
    <x v="2"/>
    <n v="7"/>
    <n v="16.89"/>
    <x v="0"/>
    <n v="118.23"/>
    <x v="44"/>
    <x v="23"/>
    <x v="1"/>
    <x v="4"/>
  </r>
  <r>
    <n v="100342"/>
    <x v="44"/>
    <s v="AD-2376-C"/>
    <x v="15"/>
    <x v="1"/>
    <x v="3"/>
    <x v="0"/>
    <n v="4"/>
    <n v="128.36000000000001"/>
    <x v="0"/>
    <n v="513.44000000000005"/>
    <x v="45"/>
    <x v="18"/>
    <x v="0"/>
    <x v="4"/>
  </r>
  <r>
    <n v="100354"/>
    <x v="26"/>
    <s v="AD-2817-C"/>
    <x v="7"/>
    <x v="1"/>
    <x v="2"/>
    <x v="0"/>
    <n v="2"/>
    <n v="172.35"/>
    <x v="0"/>
    <n v="344.7"/>
    <x v="46"/>
    <x v="5"/>
    <x v="1"/>
    <x v="3"/>
  </r>
  <r>
    <n v="100023"/>
    <x v="45"/>
    <s v="AD-1828-A"/>
    <x v="3"/>
    <x v="2"/>
    <x v="2"/>
    <x v="0"/>
    <n v="3"/>
    <n v="19.079999999999998"/>
    <x v="1"/>
    <n v="45.79"/>
    <x v="26"/>
    <x v="24"/>
    <x v="0"/>
    <x v="1"/>
  </r>
  <r>
    <n v="100043"/>
    <x v="46"/>
    <s v="AD-8144-A"/>
    <x v="19"/>
    <x v="1"/>
    <x v="4"/>
    <x v="2"/>
    <n v="5"/>
    <n v="123.22"/>
    <x v="0"/>
    <n v="616.1"/>
    <x v="47"/>
    <x v="19"/>
    <x v="1"/>
    <x v="7"/>
  </r>
  <r>
    <n v="100243"/>
    <x v="47"/>
    <s v="AD-7688-B"/>
    <x v="11"/>
    <x v="0"/>
    <x v="0"/>
    <x v="1"/>
    <n v="4"/>
    <n v="30.87"/>
    <x v="0"/>
    <n v="123.48"/>
    <x v="48"/>
    <x v="23"/>
    <x v="1"/>
    <x v="2"/>
  </r>
  <r>
    <n v="100737"/>
    <x v="48"/>
    <s v="AD-8486-C"/>
    <x v="0"/>
    <x v="0"/>
    <x v="4"/>
    <x v="0"/>
    <n v="2"/>
    <n v="56.88"/>
    <x v="0"/>
    <n v="113.76"/>
    <x v="49"/>
    <x v="25"/>
    <x v="1"/>
    <x v="0"/>
  </r>
  <r>
    <n v="101135"/>
    <x v="49"/>
    <s v="AD-2225-D"/>
    <x v="2"/>
    <x v="1"/>
    <x v="0"/>
    <x v="1"/>
    <n v="2"/>
    <n v="99.59"/>
    <x v="3"/>
    <n v="189.22"/>
    <x v="50"/>
    <x v="13"/>
    <x v="1"/>
    <x v="0"/>
  </r>
  <r>
    <n v="100367"/>
    <x v="50"/>
    <s v="AD-3798-C"/>
    <x v="0"/>
    <x v="0"/>
    <x v="0"/>
    <x v="1"/>
    <n v="4"/>
    <n v="54.87"/>
    <x v="0"/>
    <n v="219.48"/>
    <x v="51"/>
    <x v="19"/>
    <x v="1"/>
    <x v="6"/>
  </r>
  <r>
    <n v="100163"/>
    <x v="51"/>
    <s v="AD-5670-A"/>
    <x v="9"/>
    <x v="2"/>
    <x v="0"/>
    <x v="0"/>
    <n v="1"/>
    <n v="23.03"/>
    <x v="0"/>
    <n v="23.03"/>
    <x v="52"/>
    <x v="4"/>
    <x v="0"/>
    <x v="1"/>
  </r>
  <r>
    <n v="101115"/>
    <x v="52"/>
    <s v="AD-1845-D"/>
    <x v="17"/>
    <x v="2"/>
    <x v="4"/>
    <x v="3"/>
    <n v="5"/>
    <n v="38.71"/>
    <x v="0"/>
    <n v="193.55"/>
    <x v="53"/>
    <x v="10"/>
    <x v="1"/>
    <x v="2"/>
  </r>
  <r>
    <n v="100332"/>
    <x v="53"/>
    <s v="AD-6488-A"/>
    <x v="4"/>
    <x v="2"/>
    <x v="1"/>
    <x v="1"/>
    <n v="3"/>
    <n v="60.91"/>
    <x v="2"/>
    <n v="164.46"/>
    <x v="54"/>
    <x v="24"/>
    <x v="0"/>
    <x v="7"/>
  </r>
  <r>
    <n v="100988"/>
    <x v="54"/>
    <s v="AD-1353-D"/>
    <x v="9"/>
    <x v="2"/>
    <x v="4"/>
    <x v="2"/>
    <n v="2"/>
    <n v="19.41"/>
    <x v="0"/>
    <n v="38.82"/>
    <x v="55"/>
    <x v="19"/>
    <x v="0"/>
    <x v="3"/>
  </r>
  <r>
    <n v="101172"/>
    <x v="55"/>
    <s v="AD-5764-B"/>
    <x v="2"/>
    <x v="1"/>
    <x v="4"/>
    <x v="1"/>
    <n v="2"/>
    <n v="82.12"/>
    <x v="0"/>
    <n v="164.24"/>
    <x v="56"/>
    <x v="14"/>
    <x v="1"/>
    <x v="1"/>
  </r>
  <r>
    <n v="101001"/>
    <x v="5"/>
    <s v="AD-9292-C"/>
    <x v="7"/>
    <x v="1"/>
    <x v="4"/>
    <x v="1"/>
    <n v="3"/>
    <n v="131.82"/>
    <x v="2"/>
    <n v="355.91"/>
    <x v="57"/>
    <x v="4"/>
    <x v="1"/>
    <x v="1"/>
  </r>
  <r>
    <n v="100377"/>
    <x v="56"/>
    <s v="AD-1613-B"/>
    <x v="8"/>
    <x v="2"/>
    <x v="2"/>
    <x v="0"/>
    <n v="2"/>
    <n v="15"/>
    <x v="0"/>
    <n v="30"/>
    <x v="58"/>
    <x v="19"/>
    <x v="0"/>
    <x v="5"/>
  </r>
  <r>
    <n v="100309"/>
    <x v="57"/>
    <s v="AD-2494-A"/>
    <x v="7"/>
    <x v="1"/>
    <x v="0"/>
    <x v="1"/>
    <n v="4"/>
    <n v="151.44999999999999"/>
    <x v="2"/>
    <n v="545.22"/>
    <x v="59"/>
    <x v="13"/>
    <x v="0"/>
    <x v="2"/>
  </r>
  <r>
    <n v="100155"/>
    <x v="58"/>
    <s v="AD-2388-C"/>
    <x v="14"/>
    <x v="1"/>
    <x v="1"/>
    <x v="1"/>
    <n v="2"/>
    <n v="210.8"/>
    <x v="0"/>
    <n v="421.6"/>
    <x v="60"/>
    <x v="23"/>
    <x v="0"/>
    <x v="3"/>
  </r>
  <r>
    <n v="100210"/>
    <x v="59"/>
    <s v="AD-2020-B"/>
    <x v="6"/>
    <x v="1"/>
    <x v="1"/>
    <x v="0"/>
    <n v="3"/>
    <n v="166.49"/>
    <x v="3"/>
    <n v="474.5"/>
    <x v="61"/>
    <x v="9"/>
    <x v="1"/>
    <x v="5"/>
  </r>
  <r>
    <n v="100086"/>
    <x v="60"/>
    <s v="AD-5415-A"/>
    <x v="2"/>
    <x v="1"/>
    <x v="0"/>
    <x v="2"/>
    <n v="4"/>
    <n v="91.09"/>
    <x v="1"/>
    <n v="291.49"/>
    <x v="62"/>
    <x v="9"/>
    <x v="0"/>
    <x v="7"/>
  </r>
  <r>
    <n v="100168"/>
    <x v="61"/>
    <s v="AD-5720-B"/>
    <x v="16"/>
    <x v="1"/>
    <x v="1"/>
    <x v="1"/>
    <n v="3"/>
    <n v="37.99"/>
    <x v="0"/>
    <n v="113.97"/>
    <x v="63"/>
    <x v="7"/>
    <x v="1"/>
    <x v="1"/>
  </r>
  <r>
    <n v="100994"/>
    <x v="62"/>
    <s v="AD-7498-D"/>
    <x v="4"/>
    <x v="2"/>
    <x v="0"/>
    <x v="0"/>
    <n v="2"/>
    <n v="56.14"/>
    <x v="0"/>
    <n v="112.28"/>
    <x v="64"/>
    <x v="26"/>
    <x v="1"/>
    <x v="6"/>
  </r>
  <r>
    <n v="100051"/>
    <x v="63"/>
    <s v="AD-3881-D"/>
    <x v="6"/>
    <x v="1"/>
    <x v="2"/>
    <x v="2"/>
    <n v="2"/>
    <n v="193.1"/>
    <x v="0"/>
    <n v="386.2"/>
    <x v="65"/>
    <x v="3"/>
    <x v="0"/>
    <x v="6"/>
  </r>
  <r>
    <n v="100438"/>
    <x v="64"/>
    <s v="AD-4342-A"/>
    <x v="7"/>
    <x v="1"/>
    <x v="0"/>
    <x v="0"/>
    <n v="2"/>
    <n v="168.9"/>
    <x v="0"/>
    <n v="337.8"/>
    <x v="66"/>
    <x v="26"/>
    <x v="1"/>
    <x v="0"/>
  </r>
  <r>
    <n v="100549"/>
    <x v="42"/>
    <s v="AD-3931-D"/>
    <x v="10"/>
    <x v="2"/>
    <x v="0"/>
    <x v="1"/>
    <n v="4"/>
    <n v="43.59"/>
    <x v="2"/>
    <n v="156.91999999999999"/>
    <x v="67"/>
    <x v="27"/>
    <x v="1"/>
    <x v="6"/>
  </r>
  <r>
    <n v="100490"/>
    <x v="65"/>
    <s v="AD-1941-B"/>
    <x v="11"/>
    <x v="0"/>
    <x v="4"/>
    <x v="0"/>
    <n v="4"/>
    <n v="29.52"/>
    <x v="2"/>
    <n v="106.27"/>
    <x v="68"/>
    <x v="8"/>
    <x v="2"/>
    <x v="0"/>
  </r>
  <r>
    <n v="100425"/>
    <x v="66"/>
    <s v="AD-8474-C"/>
    <x v="2"/>
    <x v="1"/>
    <x v="3"/>
    <x v="1"/>
    <n v="2"/>
    <n v="91.8"/>
    <x v="0"/>
    <n v="183.6"/>
    <x v="69"/>
    <x v="21"/>
    <x v="0"/>
    <x v="6"/>
  </r>
  <r>
    <n v="100135"/>
    <x v="67"/>
    <s v="AD-7566-A"/>
    <x v="1"/>
    <x v="0"/>
    <x v="1"/>
    <x v="0"/>
    <n v="2"/>
    <n v="24.81"/>
    <x v="0"/>
    <n v="49.62"/>
    <x v="70"/>
    <x v="28"/>
    <x v="1"/>
    <x v="3"/>
  </r>
  <r>
    <n v="101191"/>
    <x v="45"/>
    <s v="AD-3955-C"/>
    <x v="0"/>
    <x v="0"/>
    <x v="4"/>
    <x v="2"/>
    <n v="5"/>
    <n v="54.27"/>
    <x v="0"/>
    <n v="271.35000000000002"/>
    <x v="71"/>
    <x v="26"/>
    <x v="1"/>
    <x v="5"/>
  </r>
  <r>
    <n v="100054"/>
    <x v="68"/>
    <s v="AD-9849-A"/>
    <x v="5"/>
    <x v="0"/>
    <x v="4"/>
    <x v="0"/>
    <n v="1"/>
    <n v="74.959999999999994"/>
    <x v="4"/>
    <n v="44.98"/>
    <x v="72"/>
    <x v="9"/>
    <x v="1"/>
    <x v="4"/>
  </r>
  <r>
    <n v="100078"/>
    <x v="69"/>
    <s v="AD-2395-B"/>
    <x v="9"/>
    <x v="2"/>
    <x v="0"/>
    <x v="0"/>
    <n v="4"/>
    <n v="24.67"/>
    <x v="2"/>
    <n v="88.81"/>
    <x v="73"/>
    <x v="22"/>
    <x v="1"/>
    <x v="0"/>
  </r>
  <r>
    <n v="100430"/>
    <x v="70"/>
    <s v="AD-8493-B"/>
    <x v="4"/>
    <x v="2"/>
    <x v="0"/>
    <x v="1"/>
    <n v="2"/>
    <n v="63.2"/>
    <x v="2"/>
    <n v="113.76"/>
    <x v="74"/>
    <x v="11"/>
    <x v="1"/>
    <x v="5"/>
  </r>
  <r>
    <n v="100184"/>
    <x v="71"/>
    <s v="AD-5288-C"/>
    <x v="18"/>
    <x v="1"/>
    <x v="4"/>
    <x v="1"/>
    <n v="2"/>
    <n v="75.760000000000005"/>
    <x v="2"/>
    <n v="136.37"/>
    <x v="75"/>
    <x v="26"/>
    <x v="0"/>
    <x v="1"/>
  </r>
  <r>
    <n v="100056"/>
    <x v="72"/>
    <s v="AD-7232-D"/>
    <x v="15"/>
    <x v="1"/>
    <x v="1"/>
    <x v="2"/>
    <n v="3"/>
    <n v="154.34"/>
    <x v="1"/>
    <n v="370.42"/>
    <x v="76"/>
    <x v="0"/>
    <x v="0"/>
    <x v="7"/>
  </r>
  <r>
    <n v="100942"/>
    <x v="73"/>
    <s v="AD-6060-B"/>
    <x v="17"/>
    <x v="2"/>
    <x v="4"/>
    <x v="0"/>
    <n v="4"/>
    <n v="36.04"/>
    <x v="0"/>
    <n v="144.16"/>
    <x v="77"/>
    <x v="0"/>
    <x v="0"/>
    <x v="1"/>
  </r>
  <r>
    <n v="100850"/>
    <x v="74"/>
    <s v="AD-9270-D"/>
    <x v="13"/>
    <x v="0"/>
    <x v="1"/>
    <x v="1"/>
    <n v="2"/>
    <n v="109.53"/>
    <x v="0"/>
    <n v="219.06"/>
    <x v="78"/>
    <x v="21"/>
    <x v="0"/>
    <x v="3"/>
  </r>
  <r>
    <n v="101163"/>
    <x v="75"/>
    <s v="AD-9484-D"/>
    <x v="9"/>
    <x v="2"/>
    <x v="1"/>
    <x v="2"/>
    <n v="3"/>
    <n v="23.8"/>
    <x v="4"/>
    <n v="42.84"/>
    <x v="79"/>
    <x v="29"/>
    <x v="1"/>
    <x v="4"/>
  </r>
  <r>
    <n v="100218"/>
    <x v="76"/>
    <s v="AD-7666-D"/>
    <x v="4"/>
    <x v="2"/>
    <x v="1"/>
    <x v="1"/>
    <n v="2"/>
    <n v="55.24"/>
    <x v="3"/>
    <n v="104.96"/>
    <x v="80"/>
    <x v="30"/>
    <x v="1"/>
    <x v="3"/>
  </r>
  <r>
    <n v="100844"/>
    <x v="77"/>
    <s v="AD-8210-D"/>
    <x v="8"/>
    <x v="2"/>
    <x v="1"/>
    <x v="0"/>
    <n v="3"/>
    <n v="15.38"/>
    <x v="0"/>
    <n v="46.14"/>
    <x v="81"/>
    <x v="0"/>
    <x v="1"/>
    <x v="2"/>
  </r>
  <r>
    <n v="100113"/>
    <x v="78"/>
    <s v="AD-2479-D"/>
    <x v="5"/>
    <x v="0"/>
    <x v="0"/>
    <x v="3"/>
    <n v="4"/>
    <n v="76.989999999999995"/>
    <x v="0"/>
    <n v="307.95999999999998"/>
    <x v="82"/>
    <x v="25"/>
    <x v="0"/>
    <x v="4"/>
  </r>
  <r>
    <n v="100548"/>
    <x v="79"/>
    <s v="AD-2276-B"/>
    <x v="15"/>
    <x v="1"/>
    <x v="4"/>
    <x v="0"/>
    <n v="1"/>
    <n v="136.94"/>
    <x v="0"/>
    <n v="136.94"/>
    <x v="83"/>
    <x v="16"/>
    <x v="1"/>
    <x v="0"/>
  </r>
  <r>
    <n v="101018"/>
    <x v="80"/>
    <s v="AD-1227-B"/>
    <x v="9"/>
    <x v="2"/>
    <x v="3"/>
    <x v="2"/>
    <n v="4"/>
    <n v="22.74"/>
    <x v="0"/>
    <n v="90.96"/>
    <x v="84"/>
    <x v="19"/>
    <x v="0"/>
    <x v="2"/>
  </r>
  <r>
    <n v="101072"/>
    <x v="81"/>
    <s v="AD-7184-A"/>
    <x v="16"/>
    <x v="1"/>
    <x v="4"/>
    <x v="0"/>
    <n v="2"/>
    <n v="32.85"/>
    <x v="0"/>
    <n v="65.7"/>
    <x v="85"/>
    <x v="18"/>
    <x v="0"/>
    <x v="3"/>
  </r>
  <r>
    <n v="100174"/>
    <x v="82"/>
    <s v="AD-4302-A"/>
    <x v="7"/>
    <x v="1"/>
    <x v="4"/>
    <x v="1"/>
    <n v="3"/>
    <n v="161.69999999999999"/>
    <x v="0"/>
    <n v="485.1"/>
    <x v="86"/>
    <x v="4"/>
    <x v="1"/>
    <x v="0"/>
  </r>
  <r>
    <n v="101022"/>
    <x v="83"/>
    <s v="AD-9446-A"/>
    <x v="0"/>
    <x v="0"/>
    <x v="4"/>
    <x v="1"/>
    <n v="2"/>
    <n v="59.29"/>
    <x v="4"/>
    <n v="71.150000000000006"/>
    <x v="87"/>
    <x v="15"/>
    <x v="1"/>
    <x v="0"/>
  </r>
  <r>
    <n v="100615"/>
    <x v="84"/>
    <s v="AD-6460-D"/>
    <x v="12"/>
    <x v="0"/>
    <x v="1"/>
    <x v="0"/>
    <n v="3"/>
    <n v="149.82"/>
    <x v="0"/>
    <n v="449.46"/>
    <x v="88"/>
    <x v="9"/>
    <x v="0"/>
    <x v="1"/>
  </r>
  <r>
    <n v="100513"/>
    <x v="85"/>
    <s v="AD-5663-C"/>
    <x v="18"/>
    <x v="1"/>
    <x v="0"/>
    <x v="1"/>
    <n v="6"/>
    <n v="94.05"/>
    <x v="3"/>
    <n v="536.08000000000004"/>
    <x v="46"/>
    <x v="7"/>
    <x v="0"/>
    <x v="3"/>
  </r>
  <r>
    <n v="100461"/>
    <x v="86"/>
    <s v="AD-6182-D"/>
    <x v="3"/>
    <x v="2"/>
    <x v="0"/>
    <x v="1"/>
    <n v="3"/>
    <n v="18.68"/>
    <x v="3"/>
    <n v="53.24"/>
    <x v="89"/>
    <x v="0"/>
    <x v="1"/>
    <x v="4"/>
  </r>
  <r>
    <n v="100286"/>
    <x v="87"/>
    <s v="AD-4053-D"/>
    <x v="7"/>
    <x v="1"/>
    <x v="1"/>
    <x v="1"/>
    <n v="3"/>
    <n v="172.13"/>
    <x v="3"/>
    <n v="490.57"/>
    <x v="90"/>
    <x v="19"/>
    <x v="0"/>
    <x v="3"/>
  </r>
  <r>
    <n v="100381"/>
    <x v="88"/>
    <s v="AD-8937-C"/>
    <x v="4"/>
    <x v="2"/>
    <x v="4"/>
    <x v="0"/>
    <n v="4"/>
    <n v="64.819999999999993"/>
    <x v="0"/>
    <n v="259.27999999999997"/>
    <x v="91"/>
    <x v="13"/>
    <x v="0"/>
    <x v="2"/>
  </r>
  <r>
    <n v="101007"/>
    <x v="89"/>
    <s v="AD-7876-B"/>
    <x v="16"/>
    <x v="1"/>
    <x v="0"/>
    <x v="1"/>
    <n v="3"/>
    <n v="36.51"/>
    <x v="0"/>
    <n v="109.53"/>
    <x v="92"/>
    <x v="3"/>
    <x v="1"/>
    <x v="3"/>
  </r>
  <r>
    <n v="100670"/>
    <x v="81"/>
    <s v="AD-8474-B"/>
    <x v="14"/>
    <x v="1"/>
    <x v="0"/>
    <x v="2"/>
    <n v="2"/>
    <n v="207.35"/>
    <x v="2"/>
    <n v="373.23"/>
    <x v="93"/>
    <x v="31"/>
    <x v="0"/>
    <x v="1"/>
  </r>
  <r>
    <n v="100534"/>
    <x v="90"/>
    <s v="AD-9534-A"/>
    <x v="16"/>
    <x v="1"/>
    <x v="0"/>
    <x v="0"/>
    <n v="3"/>
    <n v="33.51"/>
    <x v="3"/>
    <n v="95.5"/>
    <x v="94"/>
    <x v="7"/>
    <x v="1"/>
    <x v="7"/>
  </r>
  <r>
    <n v="100909"/>
    <x v="91"/>
    <s v="AD-6468-B"/>
    <x v="1"/>
    <x v="0"/>
    <x v="4"/>
    <x v="0"/>
    <n v="2"/>
    <n v="25.83"/>
    <x v="0"/>
    <n v="51.66"/>
    <x v="95"/>
    <x v="25"/>
    <x v="1"/>
    <x v="6"/>
  </r>
  <r>
    <n v="100292"/>
    <x v="92"/>
    <s v="AD-3733-D"/>
    <x v="7"/>
    <x v="1"/>
    <x v="1"/>
    <x v="2"/>
    <n v="4"/>
    <n v="159.65"/>
    <x v="3"/>
    <n v="606.66999999999996"/>
    <x v="96"/>
    <x v="23"/>
    <x v="0"/>
    <x v="3"/>
  </r>
  <r>
    <n v="100123"/>
    <x v="93"/>
    <s v="AD-6304-A"/>
    <x v="7"/>
    <x v="1"/>
    <x v="2"/>
    <x v="0"/>
    <n v="4"/>
    <n v="159.31"/>
    <x v="2"/>
    <n v="573.52"/>
    <x v="97"/>
    <x v="15"/>
    <x v="1"/>
    <x v="6"/>
  </r>
  <r>
    <n v="100582"/>
    <x v="94"/>
    <s v="AD-7126-B"/>
    <x v="6"/>
    <x v="1"/>
    <x v="0"/>
    <x v="1"/>
    <n v="1"/>
    <n v="173.04"/>
    <x v="3"/>
    <n v="164.39"/>
    <x v="98"/>
    <x v="7"/>
    <x v="1"/>
    <x v="5"/>
  </r>
  <r>
    <n v="100140"/>
    <x v="95"/>
    <s v="AD-2965-A"/>
    <x v="16"/>
    <x v="1"/>
    <x v="4"/>
    <x v="0"/>
    <n v="1"/>
    <n v="36.07"/>
    <x v="3"/>
    <n v="34.270000000000003"/>
    <x v="99"/>
    <x v="2"/>
    <x v="1"/>
    <x v="4"/>
  </r>
  <r>
    <n v="100735"/>
    <x v="96"/>
    <s v="AD-7948-B"/>
    <x v="17"/>
    <x v="2"/>
    <x v="0"/>
    <x v="0"/>
    <n v="5"/>
    <n v="42.11"/>
    <x v="1"/>
    <n v="168.44"/>
    <x v="100"/>
    <x v="25"/>
    <x v="0"/>
    <x v="2"/>
  </r>
  <r>
    <n v="100081"/>
    <x v="97"/>
    <s v="AD-8699-C"/>
    <x v="2"/>
    <x v="1"/>
    <x v="4"/>
    <x v="0"/>
    <n v="3"/>
    <n v="105.4"/>
    <x v="1"/>
    <n v="252.96"/>
    <x v="101"/>
    <x v="24"/>
    <x v="1"/>
    <x v="5"/>
  </r>
  <r>
    <n v="100881"/>
    <x v="98"/>
    <s v="AD-8759-B"/>
    <x v="6"/>
    <x v="1"/>
    <x v="0"/>
    <x v="0"/>
    <n v="4"/>
    <n v="187.89"/>
    <x v="0"/>
    <n v="751.56"/>
    <x v="102"/>
    <x v="20"/>
    <x v="1"/>
    <x v="1"/>
  </r>
  <r>
    <n v="100739"/>
    <x v="99"/>
    <s v="AD-2953-B"/>
    <x v="6"/>
    <x v="1"/>
    <x v="1"/>
    <x v="0"/>
    <n v="5"/>
    <n v="176.55"/>
    <x v="0"/>
    <n v="882.75"/>
    <x v="103"/>
    <x v="21"/>
    <x v="1"/>
    <x v="1"/>
  </r>
  <r>
    <n v="101101"/>
    <x v="100"/>
    <s v="AD-3695-B"/>
    <x v="1"/>
    <x v="0"/>
    <x v="4"/>
    <x v="2"/>
    <n v="1"/>
    <n v="25.42"/>
    <x v="1"/>
    <n v="20.34"/>
    <x v="104"/>
    <x v="11"/>
    <x v="1"/>
    <x v="0"/>
  </r>
  <r>
    <n v="100908"/>
    <x v="101"/>
    <s v="AD-5825-A"/>
    <x v="6"/>
    <x v="1"/>
    <x v="4"/>
    <x v="1"/>
    <n v="2"/>
    <n v="181.59"/>
    <x v="1"/>
    <n v="290.54000000000002"/>
    <x v="105"/>
    <x v="19"/>
    <x v="1"/>
    <x v="1"/>
  </r>
  <r>
    <n v="101166"/>
    <x v="102"/>
    <s v="AD-9632-B"/>
    <x v="18"/>
    <x v="1"/>
    <x v="2"/>
    <x v="1"/>
    <n v="2"/>
    <n v="74.08"/>
    <x v="0"/>
    <n v="148.16"/>
    <x v="106"/>
    <x v="24"/>
    <x v="0"/>
    <x v="5"/>
  </r>
  <r>
    <n v="100936"/>
    <x v="103"/>
    <s v="AD-4105-B"/>
    <x v="7"/>
    <x v="1"/>
    <x v="4"/>
    <x v="1"/>
    <n v="2"/>
    <n v="170.34"/>
    <x v="0"/>
    <n v="340.68"/>
    <x v="107"/>
    <x v="16"/>
    <x v="0"/>
    <x v="4"/>
  </r>
  <r>
    <n v="100371"/>
    <x v="104"/>
    <s v="AD-4860-D"/>
    <x v="17"/>
    <x v="2"/>
    <x v="4"/>
    <x v="0"/>
    <n v="3"/>
    <n v="39.229999999999997"/>
    <x v="1"/>
    <n v="94.15"/>
    <x v="108"/>
    <x v="10"/>
    <x v="1"/>
    <x v="5"/>
  </r>
  <r>
    <n v="100889"/>
    <x v="105"/>
    <s v="AD-3415-D"/>
    <x v="17"/>
    <x v="2"/>
    <x v="3"/>
    <x v="1"/>
    <n v="4"/>
    <n v="40.94"/>
    <x v="3"/>
    <n v="155.57"/>
    <x v="109"/>
    <x v="0"/>
    <x v="1"/>
    <x v="3"/>
  </r>
  <r>
    <n v="100156"/>
    <x v="106"/>
    <s v="AD-7937-C"/>
    <x v="12"/>
    <x v="0"/>
    <x v="1"/>
    <x v="0"/>
    <n v="1"/>
    <n v="128.75"/>
    <x v="0"/>
    <n v="128.75"/>
    <x v="110"/>
    <x v="16"/>
    <x v="0"/>
    <x v="1"/>
  </r>
  <r>
    <n v="100991"/>
    <x v="107"/>
    <s v="AD-4573-B"/>
    <x v="7"/>
    <x v="1"/>
    <x v="1"/>
    <x v="1"/>
    <n v="5"/>
    <n v="157.84"/>
    <x v="0"/>
    <n v="789.2"/>
    <x v="111"/>
    <x v="23"/>
    <x v="0"/>
    <x v="6"/>
  </r>
  <r>
    <n v="100621"/>
    <x v="108"/>
    <s v="AD-8629-B"/>
    <x v="11"/>
    <x v="0"/>
    <x v="0"/>
    <x v="1"/>
    <n v="3"/>
    <n v="35.47"/>
    <x v="3"/>
    <n v="101.09"/>
    <x v="112"/>
    <x v="9"/>
    <x v="0"/>
    <x v="1"/>
  </r>
  <r>
    <n v="101037"/>
    <x v="109"/>
    <s v="AD-4473-C"/>
    <x v="13"/>
    <x v="0"/>
    <x v="4"/>
    <x v="0"/>
    <n v="2"/>
    <n v="121.14"/>
    <x v="0"/>
    <n v="242.28"/>
    <x v="113"/>
    <x v="16"/>
    <x v="0"/>
    <x v="4"/>
  </r>
  <r>
    <n v="100244"/>
    <x v="110"/>
    <s v="AD-8586-A"/>
    <x v="12"/>
    <x v="0"/>
    <x v="1"/>
    <x v="0"/>
    <n v="4"/>
    <n v="132.11000000000001"/>
    <x v="1"/>
    <n v="422.75"/>
    <x v="114"/>
    <x v="32"/>
    <x v="1"/>
    <x v="3"/>
  </r>
  <r>
    <n v="100158"/>
    <x v="111"/>
    <s v="AD-6517-B"/>
    <x v="2"/>
    <x v="1"/>
    <x v="0"/>
    <x v="1"/>
    <n v="3"/>
    <n v="112.55"/>
    <x v="3"/>
    <n v="320.77"/>
    <x v="115"/>
    <x v="21"/>
    <x v="1"/>
    <x v="7"/>
  </r>
  <r>
    <n v="100745"/>
    <x v="112"/>
    <s v="AD-8635-B"/>
    <x v="0"/>
    <x v="0"/>
    <x v="4"/>
    <x v="0"/>
    <n v="2"/>
    <n v="51.59"/>
    <x v="0"/>
    <n v="103.18"/>
    <x v="116"/>
    <x v="13"/>
    <x v="0"/>
    <x v="5"/>
  </r>
  <r>
    <n v="100192"/>
    <x v="113"/>
    <s v="AD-9740-A"/>
    <x v="2"/>
    <x v="1"/>
    <x v="0"/>
    <x v="1"/>
    <n v="6"/>
    <n v="108.77"/>
    <x v="4"/>
    <n v="391.57"/>
    <x v="117"/>
    <x v="3"/>
    <x v="1"/>
    <x v="0"/>
  </r>
  <r>
    <n v="100533"/>
    <x v="37"/>
    <s v="AD-8550-A"/>
    <x v="5"/>
    <x v="0"/>
    <x v="3"/>
    <x v="0"/>
    <n v="3"/>
    <n v="64.42"/>
    <x v="3"/>
    <n v="183.6"/>
    <x v="118"/>
    <x v="21"/>
    <x v="2"/>
    <x v="6"/>
  </r>
  <r>
    <n v="100903"/>
    <x v="114"/>
    <s v="AD-3932-C"/>
    <x v="10"/>
    <x v="2"/>
    <x v="2"/>
    <x v="1"/>
    <n v="1"/>
    <n v="45.52"/>
    <x v="3"/>
    <n v="43.24"/>
    <x v="119"/>
    <x v="2"/>
    <x v="1"/>
    <x v="5"/>
  </r>
  <r>
    <n v="101003"/>
    <x v="115"/>
    <s v="AD-9818-B"/>
    <x v="8"/>
    <x v="2"/>
    <x v="0"/>
    <x v="1"/>
    <n v="3"/>
    <n v="12.65"/>
    <x v="3"/>
    <n v="36.049999999999997"/>
    <x v="120"/>
    <x v="23"/>
    <x v="1"/>
    <x v="4"/>
  </r>
  <r>
    <n v="101069"/>
    <x v="116"/>
    <s v="AD-2429-B"/>
    <x v="8"/>
    <x v="2"/>
    <x v="1"/>
    <x v="1"/>
    <n v="1"/>
    <n v="15.32"/>
    <x v="0"/>
    <n v="15.32"/>
    <x v="121"/>
    <x v="8"/>
    <x v="1"/>
    <x v="6"/>
  </r>
  <r>
    <n v="100413"/>
    <x v="117"/>
    <s v="AD-8606-A"/>
    <x v="18"/>
    <x v="1"/>
    <x v="0"/>
    <x v="1"/>
    <n v="2"/>
    <n v="87.26"/>
    <x v="0"/>
    <n v="174.52"/>
    <x v="122"/>
    <x v="21"/>
    <x v="0"/>
    <x v="0"/>
  </r>
  <r>
    <n v="101186"/>
    <x v="118"/>
    <s v="AD-5742-A"/>
    <x v="5"/>
    <x v="0"/>
    <x v="0"/>
    <x v="1"/>
    <n v="5"/>
    <n v="65.42"/>
    <x v="1"/>
    <n v="261.68"/>
    <x v="123"/>
    <x v="18"/>
    <x v="1"/>
    <x v="0"/>
  </r>
  <r>
    <n v="100327"/>
    <x v="119"/>
    <s v="AD-7870-B"/>
    <x v="15"/>
    <x v="1"/>
    <x v="1"/>
    <x v="0"/>
    <n v="1"/>
    <n v="172.06"/>
    <x v="3"/>
    <n v="163.46"/>
    <x v="124"/>
    <x v="7"/>
    <x v="0"/>
    <x v="7"/>
  </r>
  <r>
    <n v="100128"/>
    <x v="120"/>
    <s v="AD-8046-D"/>
    <x v="10"/>
    <x v="2"/>
    <x v="4"/>
    <x v="1"/>
    <n v="1"/>
    <n v="41"/>
    <x v="0"/>
    <n v="41"/>
    <x v="125"/>
    <x v="8"/>
    <x v="0"/>
    <x v="6"/>
  </r>
  <r>
    <n v="100694"/>
    <x v="121"/>
    <s v="AD-2326-C"/>
    <x v="13"/>
    <x v="0"/>
    <x v="4"/>
    <x v="1"/>
    <n v="3"/>
    <n v="105.09"/>
    <x v="0"/>
    <n v="315.27"/>
    <x v="126"/>
    <x v="8"/>
    <x v="0"/>
    <x v="6"/>
  </r>
  <r>
    <n v="100630"/>
    <x v="122"/>
    <s v="AD-3403-B"/>
    <x v="15"/>
    <x v="1"/>
    <x v="0"/>
    <x v="2"/>
    <n v="4"/>
    <n v="149.07"/>
    <x v="2"/>
    <n v="536.65"/>
    <x v="127"/>
    <x v="7"/>
    <x v="0"/>
    <x v="7"/>
  </r>
  <r>
    <n v="100274"/>
    <x v="123"/>
    <s v="AD-3910-D"/>
    <x v="19"/>
    <x v="1"/>
    <x v="1"/>
    <x v="3"/>
    <n v="2"/>
    <n v="138.44999999999999"/>
    <x v="2"/>
    <n v="249.21"/>
    <x v="128"/>
    <x v="8"/>
    <x v="1"/>
    <x v="4"/>
  </r>
  <r>
    <n v="101147"/>
    <x v="47"/>
    <s v="AD-8989-A"/>
    <x v="9"/>
    <x v="2"/>
    <x v="4"/>
    <x v="0"/>
    <n v="4"/>
    <n v="22.37"/>
    <x v="2"/>
    <n v="80.53"/>
    <x v="129"/>
    <x v="10"/>
    <x v="0"/>
    <x v="6"/>
  </r>
  <r>
    <n v="100308"/>
    <x v="124"/>
    <s v="AD-2350-C"/>
    <x v="0"/>
    <x v="0"/>
    <x v="3"/>
    <x v="0"/>
    <n v="3"/>
    <n v="60.76"/>
    <x v="1"/>
    <n v="145.82"/>
    <x v="130"/>
    <x v="17"/>
    <x v="0"/>
    <x v="0"/>
  </r>
  <r>
    <n v="100233"/>
    <x v="125"/>
    <s v="AD-2044-A"/>
    <x v="1"/>
    <x v="0"/>
    <x v="0"/>
    <x v="1"/>
    <n v="2"/>
    <n v="28.25"/>
    <x v="0"/>
    <n v="56.5"/>
    <x v="131"/>
    <x v="16"/>
    <x v="1"/>
    <x v="4"/>
  </r>
  <r>
    <n v="101047"/>
    <x v="73"/>
    <s v="AD-3803-B"/>
    <x v="10"/>
    <x v="2"/>
    <x v="2"/>
    <x v="0"/>
    <n v="4"/>
    <n v="46.38"/>
    <x v="4"/>
    <n v="111.31"/>
    <x v="132"/>
    <x v="7"/>
    <x v="1"/>
    <x v="1"/>
  </r>
  <r>
    <n v="100622"/>
    <x v="12"/>
    <s v="AD-4796-B"/>
    <x v="3"/>
    <x v="2"/>
    <x v="1"/>
    <x v="1"/>
    <n v="5"/>
    <n v="16.43"/>
    <x v="2"/>
    <n v="73.94"/>
    <x v="133"/>
    <x v="25"/>
    <x v="0"/>
    <x v="5"/>
  </r>
  <r>
    <n v="100643"/>
    <x v="126"/>
    <s v="AD-2006-D"/>
    <x v="0"/>
    <x v="0"/>
    <x v="4"/>
    <x v="3"/>
    <n v="3"/>
    <n v="57.22"/>
    <x v="3"/>
    <n v="163.08000000000001"/>
    <x v="134"/>
    <x v="9"/>
    <x v="0"/>
    <x v="0"/>
  </r>
  <r>
    <n v="100478"/>
    <x v="114"/>
    <s v="AD-2778-A"/>
    <x v="13"/>
    <x v="0"/>
    <x v="0"/>
    <x v="0"/>
    <n v="4"/>
    <n v="99.92"/>
    <x v="0"/>
    <n v="399.68"/>
    <x v="135"/>
    <x v="3"/>
    <x v="1"/>
    <x v="3"/>
  </r>
  <r>
    <n v="100471"/>
    <x v="127"/>
    <s v="AD-4651-D"/>
    <x v="12"/>
    <x v="0"/>
    <x v="0"/>
    <x v="2"/>
    <n v="4"/>
    <n v="146.13"/>
    <x v="3"/>
    <n v="555.29"/>
    <x v="136"/>
    <x v="16"/>
    <x v="1"/>
    <x v="2"/>
  </r>
  <r>
    <n v="100925"/>
    <x v="72"/>
    <s v="AD-2565-D"/>
    <x v="5"/>
    <x v="0"/>
    <x v="0"/>
    <x v="0"/>
    <n v="5"/>
    <n v="68.62"/>
    <x v="1"/>
    <n v="274.48"/>
    <x v="137"/>
    <x v="11"/>
    <x v="1"/>
    <x v="3"/>
  </r>
  <r>
    <n v="101097"/>
    <x v="128"/>
    <s v="AD-2873-C"/>
    <x v="13"/>
    <x v="0"/>
    <x v="1"/>
    <x v="1"/>
    <n v="3"/>
    <n v="126.03"/>
    <x v="2"/>
    <n v="340.28"/>
    <x v="138"/>
    <x v="9"/>
    <x v="1"/>
    <x v="5"/>
  </r>
  <r>
    <n v="100626"/>
    <x v="69"/>
    <s v="AD-2082-C"/>
    <x v="17"/>
    <x v="2"/>
    <x v="0"/>
    <x v="1"/>
    <n v="3"/>
    <n v="32.78"/>
    <x v="3"/>
    <n v="93.42"/>
    <x v="139"/>
    <x v="8"/>
    <x v="0"/>
    <x v="2"/>
  </r>
  <r>
    <n v="100394"/>
    <x v="129"/>
    <s v="AD-9311-C"/>
    <x v="5"/>
    <x v="0"/>
    <x v="0"/>
    <x v="1"/>
    <n v="4"/>
    <n v="65.13"/>
    <x v="0"/>
    <n v="260.52"/>
    <x v="140"/>
    <x v="7"/>
    <x v="0"/>
    <x v="4"/>
  </r>
  <r>
    <n v="100636"/>
    <x v="130"/>
    <s v="AD-8155-B"/>
    <x v="14"/>
    <x v="1"/>
    <x v="4"/>
    <x v="0"/>
    <n v="3"/>
    <n v="228.65"/>
    <x v="2"/>
    <n v="617.36"/>
    <x v="141"/>
    <x v="2"/>
    <x v="0"/>
    <x v="5"/>
  </r>
  <r>
    <n v="100767"/>
    <x v="131"/>
    <s v="AD-4865-D"/>
    <x v="19"/>
    <x v="1"/>
    <x v="0"/>
    <x v="0"/>
    <n v="5"/>
    <n v="121.9"/>
    <x v="2"/>
    <n v="548.54999999999995"/>
    <x v="142"/>
    <x v="18"/>
    <x v="0"/>
    <x v="2"/>
  </r>
  <r>
    <n v="100532"/>
    <x v="132"/>
    <s v="AD-1206-A"/>
    <x v="12"/>
    <x v="0"/>
    <x v="1"/>
    <x v="0"/>
    <n v="5"/>
    <n v="133.19"/>
    <x v="2"/>
    <n v="599.36"/>
    <x v="143"/>
    <x v="7"/>
    <x v="0"/>
    <x v="2"/>
  </r>
  <r>
    <n v="100717"/>
    <x v="133"/>
    <s v="AD-4264-B"/>
    <x v="6"/>
    <x v="1"/>
    <x v="2"/>
    <x v="0"/>
    <n v="3"/>
    <n v="164.39"/>
    <x v="3"/>
    <n v="468.51"/>
    <x v="144"/>
    <x v="19"/>
    <x v="0"/>
    <x v="3"/>
  </r>
  <r>
    <n v="100666"/>
    <x v="134"/>
    <s v="AD-9015-D"/>
    <x v="3"/>
    <x v="2"/>
    <x v="4"/>
    <x v="0"/>
    <n v="3"/>
    <n v="14.85"/>
    <x v="0"/>
    <n v="44.55"/>
    <x v="145"/>
    <x v="17"/>
    <x v="0"/>
    <x v="6"/>
  </r>
  <r>
    <n v="100597"/>
    <x v="135"/>
    <s v="AD-2784-D"/>
    <x v="15"/>
    <x v="1"/>
    <x v="2"/>
    <x v="0"/>
    <n v="4"/>
    <n v="163.38999999999999"/>
    <x v="0"/>
    <n v="653.55999999999995"/>
    <x v="146"/>
    <x v="29"/>
    <x v="0"/>
    <x v="7"/>
  </r>
  <r>
    <n v="100481"/>
    <x v="136"/>
    <s v="AD-9553-D"/>
    <x v="19"/>
    <x v="1"/>
    <x v="4"/>
    <x v="3"/>
    <n v="3"/>
    <n v="116.64"/>
    <x v="0"/>
    <n v="349.92"/>
    <x v="147"/>
    <x v="5"/>
    <x v="0"/>
    <x v="2"/>
  </r>
  <r>
    <n v="101102"/>
    <x v="137"/>
    <s v="AD-6811-D"/>
    <x v="4"/>
    <x v="2"/>
    <x v="1"/>
    <x v="1"/>
    <n v="3"/>
    <n v="62.34"/>
    <x v="3"/>
    <n v="177.67"/>
    <x v="148"/>
    <x v="16"/>
    <x v="0"/>
    <x v="2"/>
  </r>
  <r>
    <n v="100314"/>
    <x v="138"/>
    <s v="AD-6759-D"/>
    <x v="16"/>
    <x v="1"/>
    <x v="4"/>
    <x v="1"/>
    <n v="1"/>
    <n v="36.619999999999997"/>
    <x v="2"/>
    <n v="32.96"/>
    <x v="149"/>
    <x v="25"/>
    <x v="0"/>
    <x v="2"/>
  </r>
  <r>
    <n v="100728"/>
    <x v="139"/>
    <s v="AD-1471-A"/>
    <x v="3"/>
    <x v="2"/>
    <x v="0"/>
    <x v="1"/>
    <n v="6"/>
    <n v="16.850000000000001"/>
    <x v="0"/>
    <n v="101.1"/>
    <x v="150"/>
    <x v="8"/>
    <x v="1"/>
    <x v="0"/>
  </r>
  <r>
    <n v="100209"/>
    <x v="140"/>
    <s v="AD-1517-A"/>
    <x v="10"/>
    <x v="2"/>
    <x v="0"/>
    <x v="2"/>
    <n v="4"/>
    <n v="46.63"/>
    <x v="0"/>
    <n v="186.52"/>
    <x v="151"/>
    <x v="8"/>
    <x v="1"/>
    <x v="6"/>
  </r>
  <r>
    <n v="100933"/>
    <x v="141"/>
    <s v="AD-7399-C"/>
    <x v="15"/>
    <x v="1"/>
    <x v="0"/>
    <x v="1"/>
    <n v="4"/>
    <n v="160.63999999999999"/>
    <x v="0"/>
    <n v="642.55999999999995"/>
    <x v="152"/>
    <x v="3"/>
    <x v="0"/>
    <x v="1"/>
  </r>
  <r>
    <n v="100433"/>
    <x v="142"/>
    <s v="AD-8419-B"/>
    <x v="19"/>
    <x v="1"/>
    <x v="0"/>
    <x v="0"/>
    <n v="2"/>
    <n v="144.58000000000001"/>
    <x v="0"/>
    <n v="289.16000000000003"/>
    <x v="153"/>
    <x v="26"/>
    <x v="0"/>
    <x v="0"/>
  </r>
  <r>
    <n v="100328"/>
    <x v="143"/>
    <s v="AD-2956-A"/>
    <x v="5"/>
    <x v="0"/>
    <x v="0"/>
    <x v="0"/>
    <n v="3"/>
    <n v="61"/>
    <x v="3"/>
    <n v="173.85"/>
    <x v="154"/>
    <x v="17"/>
    <x v="1"/>
    <x v="4"/>
  </r>
  <r>
    <n v="100260"/>
    <x v="144"/>
    <s v="AD-4764-B"/>
    <x v="4"/>
    <x v="2"/>
    <x v="1"/>
    <x v="3"/>
    <n v="3"/>
    <n v="65.61"/>
    <x v="0"/>
    <n v="196.83"/>
    <x v="155"/>
    <x v="24"/>
    <x v="0"/>
    <x v="7"/>
  </r>
  <r>
    <n v="101116"/>
    <x v="145"/>
    <s v="AD-4784-A"/>
    <x v="12"/>
    <x v="0"/>
    <x v="4"/>
    <x v="2"/>
    <n v="2"/>
    <n v="141.53"/>
    <x v="0"/>
    <n v="283.06"/>
    <x v="156"/>
    <x v="19"/>
    <x v="1"/>
    <x v="2"/>
  </r>
  <r>
    <n v="100306"/>
    <x v="146"/>
    <s v="AD-1752-A"/>
    <x v="17"/>
    <x v="2"/>
    <x v="2"/>
    <x v="1"/>
    <n v="2"/>
    <n v="41.02"/>
    <x v="2"/>
    <n v="73.84"/>
    <x v="157"/>
    <x v="5"/>
    <x v="0"/>
    <x v="7"/>
  </r>
  <r>
    <n v="101066"/>
    <x v="147"/>
    <s v="AD-5562-B"/>
    <x v="3"/>
    <x v="2"/>
    <x v="0"/>
    <x v="1"/>
    <n v="1"/>
    <n v="17.850000000000001"/>
    <x v="0"/>
    <n v="17.850000000000001"/>
    <x v="158"/>
    <x v="9"/>
    <x v="1"/>
    <x v="2"/>
  </r>
  <r>
    <n v="100927"/>
    <x v="148"/>
    <s v="AD-9264-C"/>
    <x v="9"/>
    <x v="2"/>
    <x v="0"/>
    <x v="0"/>
    <n v="3"/>
    <n v="24.11"/>
    <x v="3"/>
    <n v="68.709999999999994"/>
    <x v="159"/>
    <x v="8"/>
    <x v="1"/>
    <x v="1"/>
  </r>
  <r>
    <n v="101024"/>
    <x v="149"/>
    <s v="AD-8058-D"/>
    <x v="18"/>
    <x v="1"/>
    <x v="2"/>
    <x v="0"/>
    <n v="2"/>
    <n v="87"/>
    <x v="2"/>
    <n v="156.6"/>
    <x v="160"/>
    <x v="12"/>
    <x v="1"/>
    <x v="1"/>
  </r>
  <r>
    <n v="100270"/>
    <x v="150"/>
    <s v="AD-9537-B"/>
    <x v="12"/>
    <x v="0"/>
    <x v="0"/>
    <x v="1"/>
    <n v="3"/>
    <n v="133.34"/>
    <x v="0"/>
    <n v="400.02"/>
    <x v="161"/>
    <x v="27"/>
    <x v="2"/>
    <x v="6"/>
  </r>
  <r>
    <n v="100290"/>
    <x v="151"/>
    <s v="AD-3194-C"/>
    <x v="3"/>
    <x v="2"/>
    <x v="0"/>
    <x v="1"/>
    <n v="3"/>
    <n v="18.2"/>
    <x v="0"/>
    <n v="54.6"/>
    <x v="162"/>
    <x v="28"/>
    <x v="1"/>
    <x v="1"/>
  </r>
  <r>
    <n v="100812"/>
    <x v="152"/>
    <s v="AD-4083-A"/>
    <x v="12"/>
    <x v="0"/>
    <x v="4"/>
    <x v="0"/>
    <n v="3"/>
    <n v="145.30000000000001"/>
    <x v="0"/>
    <n v="435.9"/>
    <x v="163"/>
    <x v="13"/>
    <x v="1"/>
    <x v="7"/>
  </r>
  <r>
    <n v="100096"/>
    <x v="153"/>
    <s v="AD-4090-B"/>
    <x v="8"/>
    <x v="2"/>
    <x v="1"/>
    <x v="1"/>
    <n v="1"/>
    <n v="14.47"/>
    <x v="3"/>
    <n v="13.75"/>
    <x v="164"/>
    <x v="23"/>
    <x v="1"/>
    <x v="4"/>
  </r>
  <r>
    <n v="100887"/>
    <x v="154"/>
    <s v="AD-3064-C"/>
    <x v="16"/>
    <x v="1"/>
    <x v="4"/>
    <x v="1"/>
    <n v="2"/>
    <n v="31.96"/>
    <x v="2"/>
    <n v="57.53"/>
    <x v="165"/>
    <x v="7"/>
    <x v="0"/>
    <x v="6"/>
  </r>
  <r>
    <n v="100818"/>
    <x v="155"/>
    <s v="AD-8755-A"/>
    <x v="6"/>
    <x v="1"/>
    <x v="1"/>
    <x v="0"/>
    <n v="3"/>
    <n v="164.27"/>
    <x v="3"/>
    <n v="468.17"/>
    <x v="166"/>
    <x v="3"/>
    <x v="0"/>
    <x v="2"/>
  </r>
  <r>
    <n v="100031"/>
    <x v="156"/>
    <s v="AD-2127-B"/>
    <x v="17"/>
    <x v="2"/>
    <x v="4"/>
    <x v="0"/>
    <n v="6"/>
    <n v="36.380000000000003"/>
    <x v="0"/>
    <n v="218.28"/>
    <x v="167"/>
    <x v="25"/>
    <x v="1"/>
    <x v="4"/>
  </r>
  <r>
    <n v="100762"/>
    <x v="157"/>
    <s v="AD-8952-D"/>
    <x v="5"/>
    <x v="0"/>
    <x v="4"/>
    <x v="0"/>
    <n v="3"/>
    <n v="67.83"/>
    <x v="2"/>
    <n v="183.14"/>
    <x v="168"/>
    <x v="7"/>
    <x v="0"/>
    <x v="5"/>
  </r>
  <r>
    <n v="100953"/>
    <x v="158"/>
    <s v="AD-8688-B"/>
    <x v="0"/>
    <x v="0"/>
    <x v="1"/>
    <x v="1"/>
    <n v="4"/>
    <n v="55.8"/>
    <x v="3"/>
    <n v="212.04"/>
    <x v="169"/>
    <x v="20"/>
    <x v="1"/>
    <x v="3"/>
  </r>
  <r>
    <n v="100319"/>
    <x v="159"/>
    <s v="AD-9209-D"/>
    <x v="1"/>
    <x v="0"/>
    <x v="2"/>
    <x v="3"/>
    <n v="3"/>
    <n v="27.45"/>
    <x v="1"/>
    <n v="65.88"/>
    <x v="170"/>
    <x v="11"/>
    <x v="1"/>
    <x v="0"/>
  </r>
  <r>
    <n v="100298"/>
    <x v="160"/>
    <s v="AD-4438-C"/>
    <x v="1"/>
    <x v="0"/>
    <x v="0"/>
    <x v="0"/>
    <n v="2"/>
    <n v="26.59"/>
    <x v="3"/>
    <n v="50.52"/>
    <x v="171"/>
    <x v="8"/>
    <x v="2"/>
    <x v="6"/>
  </r>
  <r>
    <n v="100199"/>
    <x v="161"/>
    <s v="AD-9171-C"/>
    <x v="13"/>
    <x v="0"/>
    <x v="0"/>
    <x v="0"/>
    <n v="1"/>
    <n v="127.46"/>
    <x v="0"/>
    <n v="127.46"/>
    <x v="172"/>
    <x v="4"/>
    <x v="1"/>
    <x v="5"/>
  </r>
  <r>
    <n v="100560"/>
    <x v="16"/>
    <s v="AD-1827-D"/>
    <x v="15"/>
    <x v="1"/>
    <x v="0"/>
    <x v="0"/>
    <n v="5"/>
    <n v="154.01"/>
    <x v="3"/>
    <n v="731.55"/>
    <x v="173"/>
    <x v="18"/>
    <x v="0"/>
    <x v="3"/>
  </r>
  <r>
    <n v="100178"/>
    <x v="162"/>
    <s v="AD-9937-C"/>
    <x v="10"/>
    <x v="2"/>
    <x v="4"/>
    <x v="0"/>
    <n v="3"/>
    <n v="40.39"/>
    <x v="4"/>
    <n v="72.7"/>
    <x v="174"/>
    <x v="5"/>
    <x v="1"/>
    <x v="3"/>
  </r>
  <r>
    <n v="101131"/>
    <x v="24"/>
    <s v="AD-8363-B"/>
    <x v="12"/>
    <x v="0"/>
    <x v="0"/>
    <x v="0"/>
    <n v="5"/>
    <n v="148.16"/>
    <x v="3"/>
    <n v="703.76"/>
    <x v="175"/>
    <x v="18"/>
    <x v="0"/>
    <x v="1"/>
  </r>
  <r>
    <n v="100088"/>
    <x v="163"/>
    <s v="AD-9117-C"/>
    <x v="11"/>
    <x v="0"/>
    <x v="1"/>
    <x v="0"/>
    <n v="3"/>
    <n v="28.67"/>
    <x v="3"/>
    <n v="81.709999999999994"/>
    <x v="176"/>
    <x v="2"/>
    <x v="1"/>
    <x v="2"/>
  </r>
  <r>
    <n v="100787"/>
    <x v="148"/>
    <s v="AD-1087-C"/>
    <x v="11"/>
    <x v="0"/>
    <x v="3"/>
    <x v="3"/>
    <n v="2"/>
    <n v="30.36"/>
    <x v="0"/>
    <n v="60.72"/>
    <x v="177"/>
    <x v="3"/>
    <x v="0"/>
    <x v="7"/>
  </r>
  <r>
    <n v="100724"/>
    <x v="164"/>
    <s v="AD-6180-C"/>
    <x v="16"/>
    <x v="1"/>
    <x v="4"/>
    <x v="0"/>
    <n v="2"/>
    <n v="35.39"/>
    <x v="0"/>
    <n v="70.78"/>
    <x v="178"/>
    <x v="15"/>
    <x v="0"/>
    <x v="4"/>
  </r>
  <r>
    <n v="100826"/>
    <x v="165"/>
    <s v="AD-2734-A"/>
    <x v="15"/>
    <x v="1"/>
    <x v="1"/>
    <x v="1"/>
    <n v="4"/>
    <n v="148.62"/>
    <x v="0"/>
    <n v="594.48"/>
    <x v="179"/>
    <x v="15"/>
    <x v="0"/>
    <x v="1"/>
  </r>
  <r>
    <n v="100208"/>
    <x v="166"/>
    <s v="AD-1841-D"/>
    <x v="9"/>
    <x v="2"/>
    <x v="0"/>
    <x v="3"/>
    <n v="3"/>
    <n v="23.29"/>
    <x v="4"/>
    <n v="41.92"/>
    <x v="180"/>
    <x v="21"/>
    <x v="0"/>
    <x v="6"/>
  </r>
  <r>
    <n v="101039"/>
    <x v="167"/>
    <s v="AD-6920-C"/>
    <x v="18"/>
    <x v="1"/>
    <x v="0"/>
    <x v="1"/>
    <n v="4"/>
    <n v="88.19"/>
    <x v="0"/>
    <n v="352.76"/>
    <x v="181"/>
    <x v="0"/>
    <x v="1"/>
    <x v="4"/>
  </r>
  <r>
    <n v="100296"/>
    <x v="168"/>
    <s v="AD-5389-C"/>
    <x v="3"/>
    <x v="2"/>
    <x v="0"/>
    <x v="1"/>
    <n v="3"/>
    <n v="18.149999999999999"/>
    <x v="0"/>
    <n v="54.45"/>
    <x v="182"/>
    <x v="3"/>
    <x v="1"/>
    <x v="1"/>
  </r>
  <r>
    <n v="100997"/>
    <x v="169"/>
    <s v="AD-5888-B"/>
    <x v="18"/>
    <x v="1"/>
    <x v="4"/>
    <x v="1"/>
    <n v="2"/>
    <n v="73.12"/>
    <x v="0"/>
    <n v="146.24"/>
    <x v="183"/>
    <x v="11"/>
    <x v="0"/>
    <x v="2"/>
  </r>
  <r>
    <n v="100497"/>
    <x v="170"/>
    <s v="AD-8548-A"/>
    <x v="3"/>
    <x v="2"/>
    <x v="0"/>
    <x v="1"/>
    <n v="3"/>
    <n v="17.920000000000002"/>
    <x v="0"/>
    <n v="53.76"/>
    <x v="184"/>
    <x v="23"/>
    <x v="0"/>
    <x v="5"/>
  </r>
  <r>
    <n v="100834"/>
    <x v="171"/>
    <s v="AD-6638-A"/>
    <x v="12"/>
    <x v="0"/>
    <x v="0"/>
    <x v="2"/>
    <n v="2"/>
    <n v="154.19999999999999"/>
    <x v="0"/>
    <n v="308.39999999999998"/>
    <x v="185"/>
    <x v="26"/>
    <x v="0"/>
    <x v="4"/>
  </r>
  <r>
    <n v="100429"/>
    <x v="172"/>
    <s v="AD-6536-A"/>
    <x v="16"/>
    <x v="1"/>
    <x v="3"/>
    <x v="0"/>
    <n v="1"/>
    <n v="32.9"/>
    <x v="1"/>
    <n v="26.32"/>
    <x v="186"/>
    <x v="20"/>
    <x v="1"/>
    <x v="6"/>
  </r>
  <r>
    <n v="100506"/>
    <x v="44"/>
    <s v="AD-9987-C"/>
    <x v="16"/>
    <x v="1"/>
    <x v="4"/>
    <x v="0"/>
    <n v="6"/>
    <n v="40.630000000000003"/>
    <x v="3"/>
    <n v="231.59"/>
    <x v="187"/>
    <x v="25"/>
    <x v="0"/>
    <x v="3"/>
  </r>
  <r>
    <n v="100830"/>
    <x v="173"/>
    <s v="AD-3483-D"/>
    <x v="7"/>
    <x v="1"/>
    <x v="1"/>
    <x v="1"/>
    <n v="2"/>
    <n v="158.38999999999999"/>
    <x v="2"/>
    <n v="285.10000000000002"/>
    <x v="188"/>
    <x v="17"/>
    <x v="1"/>
    <x v="6"/>
  </r>
  <r>
    <n v="100693"/>
    <x v="174"/>
    <s v="AD-1022-A"/>
    <x v="14"/>
    <x v="1"/>
    <x v="1"/>
    <x v="1"/>
    <n v="2"/>
    <n v="238.44"/>
    <x v="0"/>
    <n v="476.88"/>
    <x v="189"/>
    <x v="9"/>
    <x v="1"/>
    <x v="5"/>
  </r>
  <r>
    <n v="100010"/>
    <x v="175"/>
    <s v="AD-7916-A"/>
    <x v="14"/>
    <x v="1"/>
    <x v="4"/>
    <x v="0"/>
    <n v="1"/>
    <n v="225.7"/>
    <x v="0"/>
    <n v="225.7"/>
    <x v="190"/>
    <x v="2"/>
    <x v="1"/>
    <x v="3"/>
  </r>
  <r>
    <n v="100847"/>
    <x v="9"/>
    <s v="AD-5968-C"/>
    <x v="11"/>
    <x v="0"/>
    <x v="4"/>
    <x v="0"/>
    <n v="2"/>
    <n v="29.15"/>
    <x v="0"/>
    <n v="58.3"/>
    <x v="191"/>
    <x v="2"/>
    <x v="1"/>
    <x v="4"/>
  </r>
  <r>
    <n v="100462"/>
    <x v="168"/>
    <s v="AD-6889-B"/>
    <x v="6"/>
    <x v="1"/>
    <x v="0"/>
    <x v="1"/>
    <n v="1"/>
    <n v="182.22"/>
    <x v="3"/>
    <n v="173.11"/>
    <x v="192"/>
    <x v="0"/>
    <x v="0"/>
    <x v="0"/>
  </r>
  <r>
    <n v="100198"/>
    <x v="23"/>
    <s v="AD-5067-B"/>
    <x v="1"/>
    <x v="0"/>
    <x v="4"/>
    <x v="0"/>
    <n v="3"/>
    <n v="26.3"/>
    <x v="3"/>
    <n v="74.95"/>
    <x v="193"/>
    <x v="24"/>
    <x v="0"/>
    <x v="2"/>
  </r>
  <r>
    <n v="100059"/>
    <x v="176"/>
    <s v="AD-3223-D"/>
    <x v="8"/>
    <x v="2"/>
    <x v="1"/>
    <x v="1"/>
    <n v="4"/>
    <n v="16.12"/>
    <x v="2"/>
    <n v="58.03"/>
    <x v="194"/>
    <x v="9"/>
    <x v="1"/>
    <x v="2"/>
  </r>
  <r>
    <n v="100906"/>
    <x v="177"/>
    <s v="AD-1674-D"/>
    <x v="8"/>
    <x v="2"/>
    <x v="0"/>
    <x v="0"/>
    <n v="3"/>
    <n v="16.399999999999999"/>
    <x v="2"/>
    <n v="44.28"/>
    <x v="195"/>
    <x v="4"/>
    <x v="1"/>
    <x v="6"/>
  </r>
  <r>
    <n v="100996"/>
    <x v="178"/>
    <s v="AD-1377-D"/>
    <x v="3"/>
    <x v="2"/>
    <x v="4"/>
    <x v="0"/>
    <n v="5"/>
    <n v="18.25"/>
    <x v="3"/>
    <n v="86.69"/>
    <x v="196"/>
    <x v="8"/>
    <x v="1"/>
    <x v="6"/>
  </r>
  <r>
    <n v="100275"/>
    <x v="179"/>
    <s v="AD-6339-D"/>
    <x v="13"/>
    <x v="0"/>
    <x v="0"/>
    <x v="1"/>
    <n v="4"/>
    <n v="126.95"/>
    <x v="3"/>
    <n v="482.41"/>
    <x v="197"/>
    <x v="2"/>
    <x v="0"/>
    <x v="6"/>
  </r>
  <r>
    <n v="100808"/>
    <x v="35"/>
    <s v="AD-6143-D"/>
    <x v="3"/>
    <x v="2"/>
    <x v="4"/>
    <x v="0"/>
    <n v="5"/>
    <n v="20.21"/>
    <x v="1"/>
    <n v="80.84"/>
    <x v="198"/>
    <x v="21"/>
    <x v="1"/>
    <x v="0"/>
  </r>
  <r>
    <n v="100907"/>
    <x v="180"/>
    <s v="AD-6194-C"/>
    <x v="19"/>
    <x v="1"/>
    <x v="1"/>
    <x v="0"/>
    <n v="2"/>
    <n v="134.09"/>
    <x v="3"/>
    <n v="254.77"/>
    <x v="199"/>
    <x v="27"/>
    <x v="1"/>
    <x v="5"/>
  </r>
  <r>
    <n v="100657"/>
    <x v="22"/>
    <s v="AD-6450-A"/>
    <x v="13"/>
    <x v="0"/>
    <x v="0"/>
    <x v="0"/>
    <n v="3"/>
    <n v="124.07"/>
    <x v="4"/>
    <n v="223.33"/>
    <x v="200"/>
    <x v="3"/>
    <x v="1"/>
    <x v="2"/>
  </r>
  <r>
    <n v="100956"/>
    <x v="53"/>
    <s v="AD-9349-D"/>
    <x v="17"/>
    <x v="2"/>
    <x v="0"/>
    <x v="3"/>
    <n v="6"/>
    <n v="43.29"/>
    <x v="1"/>
    <n v="207.79"/>
    <x v="201"/>
    <x v="15"/>
    <x v="0"/>
    <x v="4"/>
  </r>
  <r>
    <n v="100885"/>
    <x v="181"/>
    <s v="AD-8428-D"/>
    <x v="12"/>
    <x v="0"/>
    <x v="0"/>
    <x v="0"/>
    <n v="3"/>
    <n v="129.22999999999999"/>
    <x v="3"/>
    <n v="368.31"/>
    <x v="202"/>
    <x v="3"/>
    <x v="0"/>
    <x v="7"/>
  </r>
  <r>
    <n v="100220"/>
    <x v="182"/>
    <s v="AD-9116-B"/>
    <x v="7"/>
    <x v="1"/>
    <x v="2"/>
    <x v="3"/>
    <n v="2"/>
    <n v="154.19"/>
    <x v="3"/>
    <n v="292.95999999999998"/>
    <x v="203"/>
    <x v="24"/>
    <x v="1"/>
    <x v="2"/>
  </r>
  <r>
    <n v="100788"/>
    <x v="183"/>
    <s v="AD-3938-C"/>
    <x v="19"/>
    <x v="1"/>
    <x v="3"/>
    <x v="1"/>
    <n v="4"/>
    <n v="123.96"/>
    <x v="3"/>
    <n v="471.05"/>
    <x v="204"/>
    <x v="13"/>
    <x v="1"/>
    <x v="7"/>
  </r>
  <r>
    <n v="100711"/>
    <x v="2"/>
    <s v="AD-5553-B"/>
    <x v="5"/>
    <x v="0"/>
    <x v="4"/>
    <x v="0"/>
    <n v="3"/>
    <n v="72.88"/>
    <x v="3"/>
    <n v="207.71"/>
    <x v="205"/>
    <x v="31"/>
    <x v="0"/>
    <x v="6"/>
  </r>
  <r>
    <n v="100713"/>
    <x v="184"/>
    <s v="AD-8006-C"/>
    <x v="19"/>
    <x v="1"/>
    <x v="3"/>
    <x v="2"/>
    <n v="1"/>
    <n v="111.35"/>
    <x v="0"/>
    <n v="111.35"/>
    <x v="206"/>
    <x v="8"/>
    <x v="1"/>
    <x v="3"/>
  </r>
  <r>
    <n v="101112"/>
    <x v="185"/>
    <s v="AD-1124-C"/>
    <x v="18"/>
    <x v="1"/>
    <x v="0"/>
    <x v="1"/>
    <n v="2"/>
    <n v="93.03"/>
    <x v="3"/>
    <n v="176.76"/>
    <x v="207"/>
    <x v="3"/>
    <x v="0"/>
    <x v="2"/>
  </r>
  <r>
    <n v="101190"/>
    <x v="137"/>
    <s v="AD-8528-B"/>
    <x v="10"/>
    <x v="2"/>
    <x v="4"/>
    <x v="1"/>
    <n v="1"/>
    <n v="46.08"/>
    <x v="3"/>
    <n v="43.78"/>
    <x v="208"/>
    <x v="27"/>
    <x v="1"/>
    <x v="4"/>
  </r>
  <r>
    <n v="100789"/>
    <x v="186"/>
    <s v="AD-3323-C"/>
    <x v="10"/>
    <x v="2"/>
    <x v="1"/>
    <x v="1"/>
    <n v="1"/>
    <n v="45.53"/>
    <x v="3"/>
    <n v="43.25"/>
    <x v="209"/>
    <x v="2"/>
    <x v="1"/>
    <x v="2"/>
  </r>
  <r>
    <n v="100415"/>
    <x v="28"/>
    <s v="AD-5395-A"/>
    <x v="15"/>
    <x v="1"/>
    <x v="4"/>
    <x v="1"/>
    <n v="3"/>
    <n v="156.87"/>
    <x v="2"/>
    <n v="423.55"/>
    <x v="210"/>
    <x v="27"/>
    <x v="1"/>
    <x v="5"/>
  </r>
  <r>
    <n v="100898"/>
    <x v="187"/>
    <s v="AD-6544-B"/>
    <x v="18"/>
    <x v="1"/>
    <x v="0"/>
    <x v="0"/>
    <n v="3"/>
    <n v="79.150000000000006"/>
    <x v="2"/>
    <n v="213.71"/>
    <x v="211"/>
    <x v="24"/>
    <x v="0"/>
    <x v="1"/>
  </r>
  <r>
    <n v="100934"/>
    <x v="188"/>
    <s v="AD-7138-B"/>
    <x v="15"/>
    <x v="1"/>
    <x v="4"/>
    <x v="0"/>
    <n v="3"/>
    <n v="152.31"/>
    <x v="0"/>
    <n v="456.93"/>
    <x v="212"/>
    <x v="23"/>
    <x v="1"/>
    <x v="6"/>
  </r>
  <r>
    <n v="100265"/>
    <x v="189"/>
    <s v="AD-8075-B"/>
    <x v="1"/>
    <x v="0"/>
    <x v="1"/>
    <x v="0"/>
    <n v="2"/>
    <n v="27.32"/>
    <x v="0"/>
    <n v="54.64"/>
    <x v="213"/>
    <x v="19"/>
    <x v="0"/>
    <x v="2"/>
  </r>
  <r>
    <n v="100631"/>
    <x v="190"/>
    <s v="AD-5910-C"/>
    <x v="8"/>
    <x v="2"/>
    <x v="0"/>
    <x v="0"/>
    <n v="2"/>
    <n v="13.84"/>
    <x v="3"/>
    <n v="26.3"/>
    <x v="214"/>
    <x v="11"/>
    <x v="1"/>
    <x v="4"/>
  </r>
  <r>
    <n v="100247"/>
    <x v="191"/>
    <s v="AD-4422-C"/>
    <x v="2"/>
    <x v="1"/>
    <x v="0"/>
    <x v="1"/>
    <n v="5"/>
    <n v="92.32"/>
    <x v="1"/>
    <n v="369.28"/>
    <x v="215"/>
    <x v="13"/>
    <x v="0"/>
    <x v="5"/>
  </r>
  <r>
    <n v="100682"/>
    <x v="192"/>
    <s v="AD-4769-A"/>
    <x v="3"/>
    <x v="2"/>
    <x v="1"/>
    <x v="0"/>
    <n v="3"/>
    <n v="17.48"/>
    <x v="0"/>
    <n v="52.44"/>
    <x v="216"/>
    <x v="27"/>
    <x v="0"/>
    <x v="4"/>
  </r>
  <r>
    <n v="100558"/>
    <x v="193"/>
    <s v="AD-7824-A"/>
    <x v="17"/>
    <x v="2"/>
    <x v="0"/>
    <x v="3"/>
    <n v="1"/>
    <n v="44.85"/>
    <x v="3"/>
    <n v="42.61"/>
    <x v="217"/>
    <x v="8"/>
    <x v="1"/>
    <x v="2"/>
  </r>
  <r>
    <n v="101136"/>
    <x v="194"/>
    <s v="AD-1766-C"/>
    <x v="4"/>
    <x v="2"/>
    <x v="1"/>
    <x v="0"/>
    <n v="2"/>
    <n v="54.6"/>
    <x v="3"/>
    <n v="103.74"/>
    <x v="218"/>
    <x v="7"/>
    <x v="0"/>
    <x v="5"/>
  </r>
  <r>
    <n v="100967"/>
    <x v="195"/>
    <s v="AD-2586-B"/>
    <x v="18"/>
    <x v="1"/>
    <x v="4"/>
    <x v="3"/>
    <n v="3"/>
    <n v="80.41"/>
    <x v="2"/>
    <n v="217.11"/>
    <x v="219"/>
    <x v="17"/>
    <x v="0"/>
    <x v="7"/>
  </r>
  <r>
    <n v="101004"/>
    <x v="196"/>
    <s v="AD-3198-B"/>
    <x v="18"/>
    <x v="1"/>
    <x v="4"/>
    <x v="0"/>
    <n v="4"/>
    <n v="83.71"/>
    <x v="0"/>
    <n v="334.84"/>
    <x v="220"/>
    <x v="20"/>
    <x v="1"/>
    <x v="6"/>
  </r>
  <r>
    <n v="100984"/>
    <x v="197"/>
    <s v="AD-9189-D"/>
    <x v="8"/>
    <x v="2"/>
    <x v="1"/>
    <x v="2"/>
    <n v="3"/>
    <n v="14.02"/>
    <x v="0"/>
    <n v="42.06"/>
    <x v="221"/>
    <x v="31"/>
    <x v="1"/>
    <x v="6"/>
  </r>
  <r>
    <n v="100294"/>
    <x v="198"/>
    <s v="AD-8272-D"/>
    <x v="12"/>
    <x v="0"/>
    <x v="1"/>
    <x v="1"/>
    <n v="3"/>
    <n v="130.16999999999999"/>
    <x v="0"/>
    <n v="390.51"/>
    <x v="222"/>
    <x v="7"/>
    <x v="0"/>
    <x v="2"/>
  </r>
  <r>
    <n v="100519"/>
    <x v="199"/>
    <s v="AD-2702-C"/>
    <x v="9"/>
    <x v="2"/>
    <x v="4"/>
    <x v="0"/>
    <n v="2"/>
    <n v="20.76"/>
    <x v="0"/>
    <n v="41.52"/>
    <x v="223"/>
    <x v="18"/>
    <x v="0"/>
    <x v="1"/>
  </r>
  <r>
    <n v="100770"/>
    <x v="200"/>
    <s v="AD-4926-C"/>
    <x v="11"/>
    <x v="0"/>
    <x v="4"/>
    <x v="3"/>
    <n v="2"/>
    <n v="29.65"/>
    <x v="0"/>
    <n v="59.3"/>
    <x v="224"/>
    <x v="20"/>
    <x v="0"/>
    <x v="7"/>
  </r>
  <r>
    <n v="100083"/>
    <x v="201"/>
    <s v="AD-1977-B"/>
    <x v="18"/>
    <x v="1"/>
    <x v="0"/>
    <x v="2"/>
    <n v="3"/>
    <n v="87.25"/>
    <x v="0"/>
    <n v="261.75"/>
    <x v="225"/>
    <x v="5"/>
    <x v="0"/>
    <x v="1"/>
  </r>
  <r>
    <n v="100231"/>
    <x v="202"/>
    <s v="AD-2489-D"/>
    <x v="13"/>
    <x v="0"/>
    <x v="1"/>
    <x v="1"/>
    <n v="2"/>
    <n v="140.59"/>
    <x v="0"/>
    <n v="281.18"/>
    <x v="226"/>
    <x v="8"/>
    <x v="0"/>
    <x v="5"/>
  </r>
  <r>
    <n v="100620"/>
    <x v="203"/>
    <s v="AD-3932-D"/>
    <x v="9"/>
    <x v="2"/>
    <x v="4"/>
    <x v="0"/>
    <n v="1"/>
    <n v="23.97"/>
    <x v="0"/>
    <n v="23.97"/>
    <x v="227"/>
    <x v="11"/>
    <x v="1"/>
    <x v="2"/>
  </r>
  <r>
    <n v="100333"/>
    <x v="204"/>
    <s v="AD-7878-D"/>
    <x v="12"/>
    <x v="0"/>
    <x v="0"/>
    <x v="0"/>
    <n v="5"/>
    <n v="136.06"/>
    <x v="0"/>
    <n v="680.3"/>
    <x v="228"/>
    <x v="0"/>
    <x v="1"/>
    <x v="6"/>
  </r>
  <r>
    <n v="100129"/>
    <x v="205"/>
    <s v="AD-7992-C"/>
    <x v="5"/>
    <x v="0"/>
    <x v="0"/>
    <x v="0"/>
    <n v="2"/>
    <n v="65.67"/>
    <x v="3"/>
    <n v="124.77"/>
    <x v="229"/>
    <x v="19"/>
    <x v="0"/>
    <x v="4"/>
  </r>
  <r>
    <n v="101011"/>
    <x v="77"/>
    <s v="AD-2623-A"/>
    <x v="9"/>
    <x v="2"/>
    <x v="1"/>
    <x v="1"/>
    <n v="2"/>
    <n v="20.57"/>
    <x v="2"/>
    <n v="37.03"/>
    <x v="230"/>
    <x v="22"/>
    <x v="1"/>
    <x v="0"/>
  </r>
  <r>
    <n v="100644"/>
    <x v="206"/>
    <s v="AD-5699-D"/>
    <x v="7"/>
    <x v="1"/>
    <x v="0"/>
    <x v="0"/>
    <n v="3"/>
    <n v="161.80000000000001"/>
    <x v="0"/>
    <n v="485.4"/>
    <x v="231"/>
    <x v="20"/>
    <x v="0"/>
    <x v="7"/>
  </r>
  <r>
    <n v="100973"/>
    <x v="191"/>
    <s v="AD-7556-A"/>
    <x v="15"/>
    <x v="1"/>
    <x v="0"/>
    <x v="1"/>
    <n v="3"/>
    <n v="142.9"/>
    <x v="0"/>
    <n v="428.7"/>
    <x v="232"/>
    <x v="2"/>
    <x v="1"/>
    <x v="5"/>
  </r>
  <r>
    <n v="100382"/>
    <x v="207"/>
    <s v="AD-9589-A"/>
    <x v="15"/>
    <x v="1"/>
    <x v="4"/>
    <x v="0"/>
    <n v="4"/>
    <n v="160.12"/>
    <x v="0"/>
    <n v="640.48"/>
    <x v="233"/>
    <x v="19"/>
    <x v="1"/>
    <x v="3"/>
  </r>
  <r>
    <n v="100867"/>
    <x v="208"/>
    <s v="AD-8417-C"/>
    <x v="19"/>
    <x v="1"/>
    <x v="0"/>
    <x v="2"/>
    <n v="3"/>
    <n v="138.03"/>
    <x v="0"/>
    <n v="414.09"/>
    <x v="234"/>
    <x v="22"/>
    <x v="0"/>
    <x v="0"/>
  </r>
  <r>
    <n v="100542"/>
    <x v="160"/>
    <s v="AD-4039-A"/>
    <x v="0"/>
    <x v="0"/>
    <x v="1"/>
    <x v="1"/>
    <n v="3"/>
    <n v="52.49"/>
    <x v="0"/>
    <n v="157.47"/>
    <x v="235"/>
    <x v="11"/>
    <x v="0"/>
    <x v="2"/>
  </r>
  <r>
    <n v="101193"/>
    <x v="209"/>
    <s v="AD-4793-B"/>
    <x v="7"/>
    <x v="1"/>
    <x v="0"/>
    <x v="1"/>
    <n v="3"/>
    <n v="156.99"/>
    <x v="1"/>
    <n v="376.78"/>
    <x v="236"/>
    <x v="9"/>
    <x v="0"/>
    <x v="4"/>
  </r>
  <r>
    <n v="100874"/>
    <x v="210"/>
    <s v="AD-9197-D"/>
    <x v="19"/>
    <x v="1"/>
    <x v="4"/>
    <x v="2"/>
    <n v="4"/>
    <n v="134.99"/>
    <x v="1"/>
    <n v="431.97"/>
    <x v="237"/>
    <x v="13"/>
    <x v="1"/>
    <x v="0"/>
  </r>
  <r>
    <n v="100331"/>
    <x v="211"/>
    <s v="AD-3466-A"/>
    <x v="17"/>
    <x v="2"/>
    <x v="3"/>
    <x v="1"/>
    <n v="1"/>
    <n v="43.72"/>
    <x v="0"/>
    <n v="43.72"/>
    <x v="238"/>
    <x v="2"/>
    <x v="0"/>
    <x v="6"/>
  </r>
  <r>
    <n v="100409"/>
    <x v="212"/>
    <s v="AD-9381-A"/>
    <x v="18"/>
    <x v="1"/>
    <x v="4"/>
    <x v="1"/>
    <n v="4"/>
    <n v="88.17"/>
    <x v="0"/>
    <n v="352.68"/>
    <x v="239"/>
    <x v="33"/>
    <x v="1"/>
    <x v="1"/>
  </r>
  <r>
    <n v="100076"/>
    <x v="37"/>
    <s v="AD-2680-A"/>
    <x v="15"/>
    <x v="1"/>
    <x v="0"/>
    <x v="0"/>
    <n v="5"/>
    <n v="153.55000000000001"/>
    <x v="0"/>
    <n v="767.75"/>
    <x v="240"/>
    <x v="26"/>
    <x v="0"/>
    <x v="5"/>
  </r>
  <r>
    <n v="100868"/>
    <x v="213"/>
    <s v="AD-1033-D"/>
    <x v="13"/>
    <x v="0"/>
    <x v="1"/>
    <x v="1"/>
    <n v="4"/>
    <n v="117.05"/>
    <x v="3"/>
    <n v="444.79"/>
    <x v="241"/>
    <x v="10"/>
    <x v="1"/>
    <x v="3"/>
  </r>
  <r>
    <n v="100138"/>
    <x v="214"/>
    <s v="AD-6655-D"/>
    <x v="3"/>
    <x v="2"/>
    <x v="1"/>
    <x v="0"/>
    <n v="4"/>
    <n v="15.65"/>
    <x v="0"/>
    <n v="62.6"/>
    <x v="242"/>
    <x v="12"/>
    <x v="1"/>
    <x v="1"/>
  </r>
  <r>
    <n v="100543"/>
    <x v="34"/>
    <s v="AD-4110-D"/>
    <x v="11"/>
    <x v="0"/>
    <x v="4"/>
    <x v="1"/>
    <n v="3"/>
    <n v="28.83"/>
    <x v="0"/>
    <n v="86.49"/>
    <x v="243"/>
    <x v="13"/>
    <x v="0"/>
    <x v="2"/>
  </r>
  <r>
    <n v="100673"/>
    <x v="215"/>
    <s v="AD-3753-C"/>
    <x v="15"/>
    <x v="1"/>
    <x v="1"/>
    <x v="0"/>
    <n v="2"/>
    <n v="147.27000000000001"/>
    <x v="0"/>
    <n v="294.54000000000002"/>
    <x v="244"/>
    <x v="3"/>
    <x v="1"/>
    <x v="2"/>
  </r>
  <r>
    <n v="100920"/>
    <x v="216"/>
    <s v="AD-8835-A"/>
    <x v="13"/>
    <x v="0"/>
    <x v="1"/>
    <x v="0"/>
    <n v="2"/>
    <n v="112.21"/>
    <x v="0"/>
    <n v="224.42"/>
    <x v="245"/>
    <x v="31"/>
    <x v="1"/>
    <x v="2"/>
  </r>
  <r>
    <n v="100063"/>
    <x v="217"/>
    <s v="AD-3683-C"/>
    <x v="16"/>
    <x v="1"/>
    <x v="4"/>
    <x v="0"/>
    <n v="2"/>
    <n v="33.42"/>
    <x v="3"/>
    <n v="63.5"/>
    <x v="246"/>
    <x v="9"/>
    <x v="0"/>
    <x v="1"/>
  </r>
  <r>
    <n v="100141"/>
    <x v="218"/>
    <s v="AD-2180-D"/>
    <x v="4"/>
    <x v="2"/>
    <x v="1"/>
    <x v="1"/>
    <n v="1"/>
    <n v="56.52"/>
    <x v="1"/>
    <n v="45.22"/>
    <x v="247"/>
    <x v="2"/>
    <x v="1"/>
    <x v="4"/>
  </r>
  <r>
    <n v="100716"/>
    <x v="219"/>
    <s v="AD-2083-D"/>
    <x v="17"/>
    <x v="2"/>
    <x v="4"/>
    <x v="0"/>
    <n v="3"/>
    <n v="39.35"/>
    <x v="0"/>
    <n v="118.05"/>
    <x v="248"/>
    <x v="4"/>
    <x v="2"/>
    <x v="4"/>
  </r>
  <r>
    <n v="100376"/>
    <x v="220"/>
    <s v="AD-2654-C"/>
    <x v="14"/>
    <x v="1"/>
    <x v="0"/>
    <x v="3"/>
    <n v="1"/>
    <n v="186.67"/>
    <x v="0"/>
    <n v="186.67"/>
    <x v="249"/>
    <x v="24"/>
    <x v="1"/>
    <x v="1"/>
  </r>
  <r>
    <n v="100363"/>
    <x v="221"/>
    <s v="AD-9962-A"/>
    <x v="1"/>
    <x v="0"/>
    <x v="4"/>
    <x v="0"/>
    <n v="4"/>
    <n v="25.48"/>
    <x v="0"/>
    <n v="101.92"/>
    <x v="250"/>
    <x v="34"/>
    <x v="1"/>
    <x v="1"/>
  </r>
  <r>
    <n v="100139"/>
    <x v="222"/>
    <s v="AD-7475-A"/>
    <x v="0"/>
    <x v="0"/>
    <x v="0"/>
    <x v="1"/>
    <n v="2"/>
    <n v="61.91"/>
    <x v="0"/>
    <n v="123.82"/>
    <x v="251"/>
    <x v="13"/>
    <x v="1"/>
    <x v="6"/>
  </r>
  <r>
    <n v="100884"/>
    <x v="223"/>
    <s v="AD-1855-C"/>
    <x v="3"/>
    <x v="2"/>
    <x v="0"/>
    <x v="0"/>
    <n v="4"/>
    <n v="16.86"/>
    <x v="2"/>
    <n v="60.7"/>
    <x v="252"/>
    <x v="8"/>
    <x v="1"/>
    <x v="7"/>
  </r>
  <r>
    <n v="101041"/>
    <x v="224"/>
    <s v="AD-4309-B"/>
    <x v="3"/>
    <x v="2"/>
    <x v="4"/>
    <x v="1"/>
    <n v="5"/>
    <n v="17.62"/>
    <x v="0"/>
    <n v="88.1"/>
    <x v="253"/>
    <x v="0"/>
    <x v="1"/>
    <x v="5"/>
  </r>
  <r>
    <n v="100224"/>
    <x v="225"/>
    <s v="AD-7567-A"/>
    <x v="19"/>
    <x v="1"/>
    <x v="2"/>
    <x v="2"/>
    <n v="3"/>
    <n v="119.72"/>
    <x v="0"/>
    <n v="359.16"/>
    <x v="254"/>
    <x v="12"/>
    <x v="1"/>
    <x v="1"/>
  </r>
  <r>
    <n v="100514"/>
    <x v="226"/>
    <s v="AD-8598-B"/>
    <x v="10"/>
    <x v="2"/>
    <x v="0"/>
    <x v="2"/>
    <n v="4"/>
    <n v="39.04"/>
    <x v="3"/>
    <n v="148.35"/>
    <x v="255"/>
    <x v="25"/>
    <x v="1"/>
    <x v="0"/>
  </r>
  <r>
    <n v="100266"/>
    <x v="227"/>
    <s v="AD-2344-C"/>
    <x v="17"/>
    <x v="2"/>
    <x v="4"/>
    <x v="1"/>
    <n v="1"/>
    <n v="37.5"/>
    <x v="0"/>
    <n v="37.5"/>
    <x v="256"/>
    <x v="17"/>
    <x v="0"/>
    <x v="1"/>
  </r>
  <r>
    <n v="101169"/>
    <x v="228"/>
    <s v="AD-3664-C"/>
    <x v="6"/>
    <x v="1"/>
    <x v="0"/>
    <x v="1"/>
    <n v="4"/>
    <n v="198.5"/>
    <x v="3"/>
    <n v="754.3"/>
    <x v="257"/>
    <x v="15"/>
    <x v="1"/>
    <x v="0"/>
  </r>
  <r>
    <n v="100486"/>
    <x v="229"/>
    <s v="AD-5157-C"/>
    <x v="16"/>
    <x v="1"/>
    <x v="0"/>
    <x v="1"/>
    <n v="1"/>
    <n v="36.39"/>
    <x v="3"/>
    <n v="34.57"/>
    <x v="258"/>
    <x v="9"/>
    <x v="1"/>
    <x v="5"/>
  </r>
  <r>
    <n v="100352"/>
    <x v="230"/>
    <s v="AD-9035-A"/>
    <x v="16"/>
    <x v="1"/>
    <x v="0"/>
    <x v="3"/>
    <n v="3"/>
    <n v="31.9"/>
    <x v="0"/>
    <n v="95.7"/>
    <x v="259"/>
    <x v="3"/>
    <x v="1"/>
    <x v="3"/>
  </r>
  <r>
    <n v="101005"/>
    <x v="231"/>
    <s v="AD-7255-B"/>
    <x v="11"/>
    <x v="0"/>
    <x v="0"/>
    <x v="0"/>
    <n v="2"/>
    <n v="27.3"/>
    <x v="4"/>
    <n v="32.76"/>
    <x v="260"/>
    <x v="5"/>
    <x v="1"/>
    <x v="0"/>
  </r>
  <r>
    <n v="100617"/>
    <x v="232"/>
    <s v="AD-3446-B"/>
    <x v="16"/>
    <x v="1"/>
    <x v="1"/>
    <x v="1"/>
    <n v="4"/>
    <n v="30.43"/>
    <x v="3"/>
    <n v="115.63"/>
    <x v="261"/>
    <x v="4"/>
    <x v="0"/>
    <x v="0"/>
  </r>
  <r>
    <n v="100667"/>
    <x v="233"/>
    <s v="AD-1606-C"/>
    <x v="8"/>
    <x v="2"/>
    <x v="1"/>
    <x v="3"/>
    <n v="6"/>
    <n v="15.22"/>
    <x v="0"/>
    <n v="91.32"/>
    <x v="262"/>
    <x v="25"/>
    <x v="0"/>
    <x v="7"/>
  </r>
  <r>
    <n v="100774"/>
    <x v="169"/>
    <s v="AD-7920-A"/>
    <x v="2"/>
    <x v="1"/>
    <x v="3"/>
    <x v="1"/>
    <n v="6"/>
    <n v="95.51"/>
    <x v="0"/>
    <n v="573.05999999999995"/>
    <x v="263"/>
    <x v="16"/>
    <x v="1"/>
    <x v="4"/>
  </r>
  <r>
    <n v="100553"/>
    <x v="234"/>
    <s v="AD-1003-A"/>
    <x v="8"/>
    <x v="2"/>
    <x v="4"/>
    <x v="3"/>
    <n v="3"/>
    <n v="14.41"/>
    <x v="0"/>
    <n v="43.23"/>
    <x v="264"/>
    <x v="9"/>
    <x v="1"/>
    <x v="2"/>
  </r>
  <r>
    <n v="100575"/>
    <x v="235"/>
    <s v="AD-4695-B"/>
    <x v="12"/>
    <x v="0"/>
    <x v="0"/>
    <x v="0"/>
    <n v="4"/>
    <n v="141.57"/>
    <x v="0"/>
    <n v="566.28"/>
    <x v="265"/>
    <x v="11"/>
    <x v="0"/>
    <x v="0"/>
  </r>
  <r>
    <n v="100914"/>
    <x v="236"/>
    <s v="AD-9188-C"/>
    <x v="8"/>
    <x v="2"/>
    <x v="4"/>
    <x v="2"/>
    <n v="3"/>
    <n v="16.45"/>
    <x v="2"/>
    <n v="44.41"/>
    <x v="266"/>
    <x v="0"/>
    <x v="1"/>
    <x v="7"/>
  </r>
  <r>
    <n v="100465"/>
    <x v="237"/>
    <s v="AD-1600-C"/>
    <x v="10"/>
    <x v="2"/>
    <x v="0"/>
    <x v="1"/>
    <n v="4"/>
    <n v="51.19"/>
    <x v="0"/>
    <n v="204.76"/>
    <x v="267"/>
    <x v="13"/>
    <x v="0"/>
    <x v="6"/>
  </r>
  <r>
    <n v="100590"/>
    <x v="120"/>
    <s v="AD-3686-A"/>
    <x v="17"/>
    <x v="2"/>
    <x v="2"/>
    <x v="2"/>
    <n v="3"/>
    <n v="39.96"/>
    <x v="0"/>
    <n v="119.88"/>
    <x v="268"/>
    <x v="20"/>
    <x v="1"/>
    <x v="4"/>
  </r>
  <r>
    <n v="100764"/>
    <x v="238"/>
    <s v="AD-2041-D"/>
    <x v="9"/>
    <x v="2"/>
    <x v="4"/>
    <x v="2"/>
    <n v="3"/>
    <n v="23.51"/>
    <x v="0"/>
    <n v="70.53"/>
    <x v="269"/>
    <x v="21"/>
    <x v="1"/>
    <x v="0"/>
  </r>
  <r>
    <n v="100634"/>
    <x v="239"/>
    <s v="AD-7652-D"/>
    <x v="6"/>
    <x v="1"/>
    <x v="0"/>
    <x v="0"/>
    <n v="1"/>
    <n v="208.4"/>
    <x v="1"/>
    <n v="166.72"/>
    <x v="13"/>
    <x v="11"/>
    <x v="1"/>
    <x v="2"/>
  </r>
  <r>
    <n v="100837"/>
    <x v="240"/>
    <s v="AD-4501-A"/>
    <x v="13"/>
    <x v="0"/>
    <x v="0"/>
    <x v="2"/>
    <n v="3"/>
    <n v="124.01"/>
    <x v="3"/>
    <n v="353.43"/>
    <x v="270"/>
    <x v="11"/>
    <x v="1"/>
    <x v="0"/>
  </r>
  <r>
    <n v="100289"/>
    <x v="241"/>
    <s v="AD-6700-C"/>
    <x v="9"/>
    <x v="2"/>
    <x v="0"/>
    <x v="1"/>
    <n v="3"/>
    <n v="21.46"/>
    <x v="0"/>
    <n v="64.38"/>
    <x v="271"/>
    <x v="15"/>
    <x v="0"/>
    <x v="1"/>
  </r>
  <r>
    <n v="100039"/>
    <x v="242"/>
    <s v="AD-4269-D"/>
    <x v="7"/>
    <x v="1"/>
    <x v="4"/>
    <x v="2"/>
    <n v="3"/>
    <n v="168.34"/>
    <x v="0"/>
    <n v="505.02"/>
    <x v="272"/>
    <x v="25"/>
    <x v="0"/>
    <x v="6"/>
  </r>
  <r>
    <n v="100030"/>
    <x v="125"/>
    <s v="AD-1152-D"/>
    <x v="14"/>
    <x v="1"/>
    <x v="4"/>
    <x v="0"/>
    <n v="3"/>
    <n v="252.84"/>
    <x v="0"/>
    <n v="758.52"/>
    <x v="273"/>
    <x v="25"/>
    <x v="0"/>
    <x v="1"/>
  </r>
  <r>
    <n v="100242"/>
    <x v="178"/>
    <s v="AD-9120-A"/>
    <x v="15"/>
    <x v="1"/>
    <x v="0"/>
    <x v="1"/>
    <n v="3"/>
    <n v="164.56"/>
    <x v="0"/>
    <n v="493.68"/>
    <x v="274"/>
    <x v="9"/>
    <x v="1"/>
    <x v="2"/>
  </r>
  <r>
    <n v="100428"/>
    <x v="243"/>
    <s v="AD-2752-C"/>
    <x v="18"/>
    <x v="1"/>
    <x v="4"/>
    <x v="0"/>
    <n v="3"/>
    <n v="80.41"/>
    <x v="2"/>
    <n v="217.11"/>
    <x v="91"/>
    <x v="15"/>
    <x v="0"/>
    <x v="2"/>
  </r>
  <r>
    <n v="100136"/>
    <x v="244"/>
    <s v="AD-7062-C"/>
    <x v="6"/>
    <x v="1"/>
    <x v="1"/>
    <x v="0"/>
    <n v="2"/>
    <n v="181.64"/>
    <x v="2"/>
    <n v="326.95"/>
    <x v="275"/>
    <x v="4"/>
    <x v="1"/>
    <x v="3"/>
  </r>
  <r>
    <n v="101100"/>
    <x v="245"/>
    <s v="AD-7876-B"/>
    <x v="7"/>
    <x v="1"/>
    <x v="4"/>
    <x v="0"/>
    <n v="1"/>
    <n v="150.4"/>
    <x v="2"/>
    <n v="135.36000000000001"/>
    <x v="276"/>
    <x v="19"/>
    <x v="1"/>
    <x v="5"/>
  </r>
  <r>
    <n v="100864"/>
    <x v="246"/>
    <s v="AD-8900-C"/>
    <x v="3"/>
    <x v="2"/>
    <x v="0"/>
    <x v="1"/>
    <n v="3"/>
    <n v="18.989999999999998"/>
    <x v="0"/>
    <n v="56.97"/>
    <x v="277"/>
    <x v="7"/>
    <x v="1"/>
    <x v="7"/>
  </r>
  <r>
    <n v="100003"/>
    <x v="247"/>
    <s v="AD-1711-D"/>
    <x v="13"/>
    <x v="0"/>
    <x v="1"/>
    <x v="0"/>
    <n v="2"/>
    <n v="123.02"/>
    <x v="2"/>
    <n v="221.44"/>
    <x v="278"/>
    <x v="27"/>
    <x v="1"/>
    <x v="0"/>
  </r>
  <r>
    <n v="100832"/>
    <x v="248"/>
    <s v="AD-3692-D"/>
    <x v="6"/>
    <x v="1"/>
    <x v="1"/>
    <x v="0"/>
    <n v="3"/>
    <n v="176.94"/>
    <x v="0"/>
    <n v="530.82000000000005"/>
    <x v="279"/>
    <x v="8"/>
    <x v="1"/>
    <x v="2"/>
  </r>
  <r>
    <n v="100602"/>
    <x v="249"/>
    <s v="AD-9514-D"/>
    <x v="10"/>
    <x v="2"/>
    <x v="0"/>
    <x v="3"/>
    <n v="3"/>
    <n v="38.81"/>
    <x v="0"/>
    <n v="116.43"/>
    <x v="280"/>
    <x v="15"/>
    <x v="0"/>
    <x v="5"/>
  </r>
  <r>
    <n v="101033"/>
    <x v="250"/>
    <s v="AD-4091-B"/>
    <x v="4"/>
    <x v="2"/>
    <x v="0"/>
    <x v="2"/>
    <n v="2"/>
    <n v="63.01"/>
    <x v="1"/>
    <n v="100.82"/>
    <x v="281"/>
    <x v="19"/>
    <x v="0"/>
    <x v="3"/>
  </r>
  <r>
    <n v="100654"/>
    <x v="251"/>
    <s v="AD-1931-B"/>
    <x v="3"/>
    <x v="2"/>
    <x v="0"/>
    <x v="0"/>
    <n v="5"/>
    <n v="18.71"/>
    <x v="3"/>
    <n v="88.87"/>
    <x v="282"/>
    <x v="23"/>
    <x v="1"/>
    <x v="1"/>
  </r>
  <r>
    <n v="100843"/>
    <x v="252"/>
    <s v="AD-9622-D"/>
    <x v="2"/>
    <x v="1"/>
    <x v="2"/>
    <x v="1"/>
    <n v="2"/>
    <n v="94.66"/>
    <x v="2"/>
    <n v="170.39"/>
    <x v="283"/>
    <x v="16"/>
    <x v="1"/>
    <x v="4"/>
  </r>
  <r>
    <n v="100783"/>
    <x v="59"/>
    <s v="AD-5636-B"/>
    <x v="1"/>
    <x v="0"/>
    <x v="1"/>
    <x v="0"/>
    <n v="3"/>
    <n v="22.78"/>
    <x v="3"/>
    <n v="64.92"/>
    <x v="284"/>
    <x v="4"/>
    <x v="0"/>
    <x v="6"/>
  </r>
  <r>
    <n v="101073"/>
    <x v="253"/>
    <s v="AD-1494-B"/>
    <x v="4"/>
    <x v="2"/>
    <x v="0"/>
    <x v="1"/>
    <n v="3"/>
    <n v="54.17"/>
    <x v="3"/>
    <n v="154.38"/>
    <x v="285"/>
    <x v="4"/>
    <x v="1"/>
    <x v="3"/>
  </r>
  <r>
    <n v="100442"/>
    <x v="132"/>
    <s v="AD-9418-A"/>
    <x v="16"/>
    <x v="1"/>
    <x v="4"/>
    <x v="1"/>
    <n v="2"/>
    <n v="35.200000000000003"/>
    <x v="3"/>
    <n v="66.88"/>
    <x v="286"/>
    <x v="11"/>
    <x v="1"/>
    <x v="3"/>
  </r>
  <r>
    <n v="101177"/>
    <x v="254"/>
    <s v="AD-2448-B"/>
    <x v="3"/>
    <x v="2"/>
    <x v="1"/>
    <x v="0"/>
    <n v="3"/>
    <n v="17.440000000000001"/>
    <x v="3"/>
    <n v="49.7"/>
    <x v="287"/>
    <x v="27"/>
    <x v="0"/>
    <x v="2"/>
  </r>
  <r>
    <n v="100435"/>
    <x v="255"/>
    <s v="AD-9255-C"/>
    <x v="19"/>
    <x v="1"/>
    <x v="0"/>
    <x v="3"/>
    <n v="6"/>
    <n v="162.34"/>
    <x v="0"/>
    <n v="974.04"/>
    <x v="288"/>
    <x v="8"/>
    <x v="1"/>
    <x v="3"/>
  </r>
  <r>
    <n v="101168"/>
    <x v="256"/>
    <s v="AD-5725-A"/>
    <x v="10"/>
    <x v="2"/>
    <x v="2"/>
    <x v="0"/>
    <n v="2"/>
    <n v="45.69"/>
    <x v="0"/>
    <n v="91.38"/>
    <x v="289"/>
    <x v="18"/>
    <x v="0"/>
    <x v="4"/>
  </r>
  <r>
    <n v="100100"/>
    <x v="257"/>
    <s v="AD-8994-A"/>
    <x v="2"/>
    <x v="1"/>
    <x v="2"/>
    <x v="2"/>
    <n v="4"/>
    <n v="97.97"/>
    <x v="0"/>
    <n v="391.88"/>
    <x v="290"/>
    <x v="2"/>
    <x v="1"/>
    <x v="4"/>
  </r>
  <r>
    <n v="100772"/>
    <x v="258"/>
    <s v="AD-5929-A"/>
    <x v="3"/>
    <x v="2"/>
    <x v="2"/>
    <x v="0"/>
    <n v="4"/>
    <n v="18.440000000000001"/>
    <x v="3"/>
    <n v="70.069999999999993"/>
    <x v="291"/>
    <x v="27"/>
    <x v="0"/>
    <x v="0"/>
  </r>
  <r>
    <n v="100494"/>
    <x v="259"/>
    <s v="AD-6693-C"/>
    <x v="2"/>
    <x v="1"/>
    <x v="1"/>
    <x v="1"/>
    <n v="2"/>
    <n v="87.49"/>
    <x v="0"/>
    <n v="174.98"/>
    <x v="292"/>
    <x v="25"/>
    <x v="0"/>
    <x v="4"/>
  </r>
  <r>
    <n v="101027"/>
    <x v="260"/>
    <s v="AD-2813-B"/>
    <x v="3"/>
    <x v="2"/>
    <x v="1"/>
    <x v="0"/>
    <n v="4"/>
    <n v="18.05"/>
    <x v="1"/>
    <n v="57.76"/>
    <x v="293"/>
    <x v="18"/>
    <x v="1"/>
    <x v="6"/>
  </r>
  <r>
    <n v="100806"/>
    <x v="261"/>
    <s v="AD-9366-D"/>
    <x v="4"/>
    <x v="2"/>
    <x v="4"/>
    <x v="0"/>
    <n v="3"/>
    <n v="57.97"/>
    <x v="3"/>
    <n v="165.21"/>
    <x v="294"/>
    <x v="4"/>
    <x v="1"/>
    <x v="1"/>
  </r>
  <r>
    <n v="101141"/>
    <x v="20"/>
    <s v="AD-2722-C"/>
    <x v="11"/>
    <x v="0"/>
    <x v="4"/>
    <x v="0"/>
    <n v="2"/>
    <n v="30.73"/>
    <x v="0"/>
    <n v="61.46"/>
    <x v="295"/>
    <x v="21"/>
    <x v="0"/>
    <x v="3"/>
  </r>
  <r>
    <n v="100845"/>
    <x v="262"/>
    <s v="AD-9408-A"/>
    <x v="4"/>
    <x v="2"/>
    <x v="4"/>
    <x v="0"/>
    <n v="3"/>
    <n v="61.27"/>
    <x v="0"/>
    <n v="183.81"/>
    <x v="296"/>
    <x v="8"/>
    <x v="0"/>
    <x v="3"/>
  </r>
  <r>
    <n v="100986"/>
    <x v="263"/>
    <s v="AD-9110-C"/>
    <x v="18"/>
    <x v="1"/>
    <x v="2"/>
    <x v="1"/>
    <n v="1"/>
    <n v="80.89"/>
    <x v="4"/>
    <n v="48.53"/>
    <x v="297"/>
    <x v="22"/>
    <x v="0"/>
    <x v="6"/>
  </r>
  <r>
    <n v="100227"/>
    <x v="264"/>
    <s v="AD-2923-C"/>
    <x v="7"/>
    <x v="1"/>
    <x v="1"/>
    <x v="2"/>
    <n v="5"/>
    <n v="165.64"/>
    <x v="3"/>
    <n v="786.79"/>
    <x v="298"/>
    <x v="21"/>
    <x v="0"/>
    <x v="0"/>
  </r>
  <r>
    <n v="101192"/>
    <x v="265"/>
    <s v="AD-1736-A"/>
    <x v="13"/>
    <x v="0"/>
    <x v="0"/>
    <x v="1"/>
    <n v="3"/>
    <n v="140.07"/>
    <x v="0"/>
    <n v="420.21"/>
    <x v="299"/>
    <x v="16"/>
    <x v="0"/>
    <x v="1"/>
  </r>
  <r>
    <n v="100671"/>
    <x v="219"/>
    <s v="AD-2033-B"/>
    <x v="17"/>
    <x v="2"/>
    <x v="0"/>
    <x v="0"/>
    <n v="3"/>
    <n v="43.78"/>
    <x v="2"/>
    <n v="118.21"/>
    <x v="300"/>
    <x v="10"/>
    <x v="0"/>
    <x v="6"/>
  </r>
  <r>
    <n v="100858"/>
    <x v="266"/>
    <s v="AD-1445-A"/>
    <x v="0"/>
    <x v="0"/>
    <x v="0"/>
    <x v="0"/>
    <n v="4"/>
    <n v="51.7"/>
    <x v="0"/>
    <n v="206.8"/>
    <x v="301"/>
    <x v="9"/>
    <x v="0"/>
    <x v="3"/>
  </r>
  <r>
    <n v="100924"/>
    <x v="267"/>
    <s v="AD-7407-B"/>
    <x v="15"/>
    <x v="1"/>
    <x v="4"/>
    <x v="2"/>
    <n v="2"/>
    <n v="149.1"/>
    <x v="0"/>
    <n v="298.2"/>
    <x v="302"/>
    <x v="5"/>
    <x v="1"/>
    <x v="0"/>
  </r>
  <r>
    <n v="100066"/>
    <x v="116"/>
    <s v="AD-9031-A"/>
    <x v="4"/>
    <x v="2"/>
    <x v="4"/>
    <x v="1"/>
    <n v="1"/>
    <n v="64.12"/>
    <x v="0"/>
    <n v="64.12"/>
    <x v="303"/>
    <x v="7"/>
    <x v="1"/>
    <x v="2"/>
  </r>
  <r>
    <n v="100067"/>
    <x v="268"/>
    <s v="AD-9817-D"/>
    <x v="11"/>
    <x v="0"/>
    <x v="0"/>
    <x v="1"/>
    <n v="2"/>
    <n v="29.99"/>
    <x v="0"/>
    <n v="59.98"/>
    <x v="304"/>
    <x v="13"/>
    <x v="1"/>
    <x v="0"/>
  </r>
  <r>
    <n v="100816"/>
    <x v="269"/>
    <s v="AD-1606-D"/>
    <x v="4"/>
    <x v="2"/>
    <x v="2"/>
    <x v="1"/>
    <n v="5"/>
    <n v="58.03"/>
    <x v="0"/>
    <n v="290.14999999999998"/>
    <x v="305"/>
    <x v="9"/>
    <x v="0"/>
    <x v="0"/>
  </r>
  <r>
    <n v="100211"/>
    <x v="270"/>
    <s v="AD-8531-C"/>
    <x v="16"/>
    <x v="1"/>
    <x v="3"/>
    <x v="1"/>
    <n v="3"/>
    <n v="40.36"/>
    <x v="0"/>
    <n v="121.08"/>
    <x v="306"/>
    <x v="33"/>
    <x v="1"/>
    <x v="3"/>
  </r>
  <r>
    <n v="100012"/>
    <x v="271"/>
    <s v="AD-9201-B"/>
    <x v="13"/>
    <x v="0"/>
    <x v="1"/>
    <x v="1"/>
    <n v="2"/>
    <n v="123.18"/>
    <x v="2"/>
    <n v="221.72"/>
    <x v="307"/>
    <x v="15"/>
    <x v="0"/>
    <x v="0"/>
  </r>
  <r>
    <n v="100493"/>
    <x v="272"/>
    <s v="AD-4281-A"/>
    <x v="7"/>
    <x v="1"/>
    <x v="4"/>
    <x v="0"/>
    <n v="5"/>
    <n v="163.98"/>
    <x v="2"/>
    <n v="737.91"/>
    <x v="308"/>
    <x v="20"/>
    <x v="0"/>
    <x v="2"/>
  </r>
  <r>
    <n v="101164"/>
    <x v="273"/>
    <s v="AD-3320-C"/>
    <x v="1"/>
    <x v="0"/>
    <x v="0"/>
    <x v="0"/>
    <n v="2"/>
    <n v="22.68"/>
    <x v="0"/>
    <n v="45.36"/>
    <x v="176"/>
    <x v="5"/>
    <x v="0"/>
    <x v="6"/>
  </r>
  <r>
    <n v="100299"/>
    <x v="274"/>
    <s v="AD-1972-C"/>
    <x v="19"/>
    <x v="1"/>
    <x v="4"/>
    <x v="0"/>
    <n v="3"/>
    <n v="129.63"/>
    <x v="0"/>
    <n v="388.89"/>
    <x v="309"/>
    <x v="9"/>
    <x v="1"/>
    <x v="6"/>
  </r>
  <r>
    <n v="100410"/>
    <x v="275"/>
    <s v="AD-6864-D"/>
    <x v="18"/>
    <x v="1"/>
    <x v="1"/>
    <x v="1"/>
    <n v="3"/>
    <n v="74.069999999999993"/>
    <x v="0"/>
    <n v="222.21"/>
    <x v="310"/>
    <x v="13"/>
    <x v="0"/>
    <x v="6"/>
  </r>
  <r>
    <n v="100756"/>
    <x v="276"/>
    <s v="AD-2552-C"/>
    <x v="1"/>
    <x v="0"/>
    <x v="3"/>
    <x v="0"/>
    <n v="4"/>
    <n v="24.96"/>
    <x v="2"/>
    <n v="89.86"/>
    <x v="311"/>
    <x v="17"/>
    <x v="1"/>
    <x v="1"/>
  </r>
  <r>
    <n v="101074"/>
    <x v="277"/>
    <s v="AD-3988-D"/>
    <x v="14"/>
    <x v="1"/>
    <x v="4"/>
    <x v="1"/>
    <n v="3"/>
    <n v="219.01"/>
    <x v="2"/>
    <n v="591.33000000000004"/>
    <x v="312"/>
    <x v="2"/>
    <x v="0"/>
    <x v="3"/>
  </r>
  <r>
    <n v="100695"/>
    <x v="278"/>
    <s v="AD-6989-D"/>
    <x v="15"/>
    <x v="1"/>
    <x v="2"/>
    <x v="0"/>
    <n v="3"/>
    <n v="162.84"/>
    <x v="0"/>
    <n v="488.52"/>
    <x v="313"/>
    <x v="30"/>
    <x v="1"/>
    <x v="2"/>
  </r>
  <r>
    <n v="101150"/>
    <x v="279"/>
    <s v="AD-3413-D"/>
    <x v="12"/>
    <x v="0"/>
    <x v="4"/>
    <x v="0"/>
    <n v="2"/>
    <n v="140.49"/>
    <x v="1"/>
    <n v="224.78"/>
    <x v="314"/>
    <x v="5"/>
    <x v="1"/>
    <x v="1"/>
  </r>
  <r>
    <n v="100723"/>
    <x v="280"/>
    <s v="AD-5778-A"/>
    <x v="15"/>
    <x v="1"/>
    <x v="1"/>
    <x v="2"/>
    <n v="3"/>
    <n v="147.44"/>
    <x v="4"/>
    <n v="265.39"/>
    <x v="315"/>
    <x v="30"/>
    <x v="1"/>
    <x v="0"/>
  </r>
  <r>
    <n v="101015"/>
    <x v="281"/>
    <s v="AD-6007-D"/>
    <x v="4"/>
    <x v="2"/>
    <x v="0"/>
    <x v="3"/>
    <n v="3"/>
    <n v="59.74"/>
    <x v="0"/>
    <n v="179.22"/>
    <x v="316"/>
    <x v="20"/>
    <x v="1"/>
    <x v="1"/>
  </r>
  <r>
    <n v="100527"/>
    <x v="280"/>
    <s v="AD-5664-C"/>
    <x v="12"/>
    <x v="0"/>
    <x v="4"/>
    <x v="0"/>
    <n v="2"/>
    <n v="149.47"/>
    <x v="0"/>
    <n v="298.94"/>
    <x v="317"/>
    <x v="30"/>
    <x v="0"/>
    <x v="0"/>
  </r>
  <r>
    <n v="100599"/>
    <x v="282"/>
    <s v="AD-8001-A"/>
    <x v="15"/>
    <x v="1"/>
    <x v="4"/>
    <x v="0"/>
    <n v="4"/>
    <n v="155.11000000000001"/>
    <x v="2"/>
    <n v="558.4"/>
    <x v="318"/>
    <x v="19"/>
    <x v="1"/>
    <x v="1"/>
  </r>
  <r>
    <n v="101119"/>
    <x v="283"/>
    <s v="AD-4056-B"/>
    <x v="12"/>
    <x v="0"/>
    <x v="0"/>
    <x v="3"/>
    <n v="3"/>
    <n v="160.26"/>
    <x v="2"/>
    <n v="432.7"/>
    <x v="319"/>
    <x v="16"/>
    <x v="0"/>
    <x v="4"/>
  </r>
  <r>
    <n v="100566"/>
    <x v="284"/>
    <s v="AD-2405-A"/>
    <x v="14"/>
    <x v="1"/>
    <x v="2"/>
    <x v="0"/>
    <n v="3"/>
    <n v="211.03"/>
    <x v="3"/>
    <n v="601.44000000000005"/>
    <x v="320"/>
    <x v="21"/>
    <x v="0"/>
    <x v="3"/>
  </r>
  <r>
    <n v="100730"/>
    <x v="152"/>
    <s v="AD-1537-A"/>
    <x v="18"/>
    <x v="1"/>
    <x v="0"/>
    <x v="1"/>
    <n v="3"/>
    <n v="95.98"/>
    <x v="2"/>
    <n v="259.14999999999998"/>
    <x v="321"/>
    <x v="4"/>
    <x v="1"/>
    <x v="1"/>
  </r>
  <r>
    <n v="100273"/>
    <x v="40"/>
    <s v="AD-8212-C"/>
    <x v="14"/>
    <x v="1"/>
    <x v="3"/>
    <x v="0"/>
    <n v="2"/>
    <n v="220.53"/>
    <x v="3"/>
    <n v="419.01"/>
    <x v="322"/>
    <x v="5"/>
    <x v="0"/>
    <x v="4"/>
  </r>
  <r>
    <n v="100966"/>
    <x v="285"/>
    <s v="AD-4846-D"/>
    <x v="7"/>
    <x v="1"/>
    <x v="4"/>
    <x v="0"/>
    <n v="2"/>
    <n v="161.53"/>
    <x v="2"/>
    <n v="290.75"/>
    <x v="323"/>
    <x v="16"/>
    <x v="1"/>
    <x v="7"/>
  </r>
  <r>
    <n v="100237"/>
    <x v="286"/>
    <s v="AD-5516-B"/>
    <x v="8"/>
    <x v="2"/>
    <x v="1"/>
    <x v="0"/>
    <n v="2"/>
    <n v="13.78"/>
    <x v="3"/>
    <n v="26.18"/>
    <x v="324"/>
    <x v="25"/>
    <x v="1"/>
    <x v="3"/>
  </r>
  <r>
    <n v="100405"/>
    <x v="287"/>
    <s v="AD-1313-B"/>
    <x v="9"/>
    <x v="2"/>
    <x v="4"/>
    <x v="3"/>
    <n v="3"/>
    <n v="19.11"/>
    <x v="3"/>
    <n v="54.46"/>
    <x v="252"/>
    <x v="3"/>
    <x v="0"/>
    <x v="2"/>
  </r>
  <r>
    <n v="100002"/>
    <x v="288"/>
    <s v="AD-5552-B"/>
    <x v="1"/>
    <x v="0"/>
    <x v="4"/>
    <x v="2"/>
    <n v="3"/>
    <n v="23.86"/>
    <x v="0"/>
    <n v="71.58"/>
    <x v="325"/>
    <x v="15"/>
    <x v="0"/>
    <x v="4"/>
  </r>
  <r>
    <n v="100006"/>
    <x v="289"/>
    <s v="AD-3803-B"/>
    <x v="11"/>
    <x v="0"/>
    <x v="1"/>
    <x v="1"/>
    <n v="2"/>
    <n v="30.7"/>
    <x v="1"/>
    <n v="49.12"/>
    <x v="326"/>
    <x v="9"/>
    <x v="0"/>
    <x v="1"/>
  </r>
  <r>
    <n v="100311"/>
    <x v="290"/>
    <s v="AD-2463-A"/>
    <x v="18"/>
    <x v="1"/>
    <x v="1"/>
    <x v="0"/>
    <n v="3"/>
    <n v="81.489999999999995"/>
    <x v="0"/>
    <n v="244.47"/>
    <x v="327"/>
    <x v="15"/>
    <x v="1"/>
    <x v="2"/>
  </r>
  <r>
    <n v="101090"/>
    <x v="146"/>
    <s v="AD-5589-C"/>
    <x v="2"/>
    <x v="1"/>
    <x v="1"/>
    <x v="0"/>
    <n v="2"/>
    <n v="88.81"/>
    <x v="3"/>
    <n v="168.74"/>
    <x v="328"/>
    <x v="3"/>
    <x v="1"/>
    <x v="1"/>
  </r>
  <r>
    <n v="100451"/>
    <x v="291"/>
    <s v="AD-2200-A"/>
    <x v="2"/>
    <x v="1"/>
    <x v="4"/>
    <x v="1"/>
    <n v="1"/>
    <n v="96.41"/>
    <x v="0"/>
    <n v="96.41"/>
    <x v="329"/>
    <x v="31"/>
    <x v="1"/>
    <x v="1"/>
  </r>
  <r>
    <n v="100721"/>
    <x v="292"/>
    <s v="AD-2959-C"/>
    <x v="11"/>
    <x v="0"/>
    <x v="0"/>
    <x v="2"/>
    <n v="2"/>
    <n v="31.42"/>
    <x v="0"/>
    <n v="62.84"/>
    <x v="330"/>
    <x v="25"/>
    <x v="0"/>
    <x v="5"/>
  </r>
  <r>
    <n v="100215"/>
    <x v="293"/>
    <s v="AD-2294-C"/>
    <x v="12"/>
    <x v="0"/>
    <x v="3"/>
    <x v="2"/>
    <n v="6"/>
    <n v="143.68"/>
    <x v="0"/>
    <n v="862.08"/>
    <x v="331"/>
    <x v="20"/>
    <x v="1"/>
    <x v="0"/>
  </r>
  <r>
    <n v="101085"/>
    <x v="294"/>
    <s v="AD-1388-D"/>
    <x v="18"/>
    <x v="1"/>
    <x v="2"/>
    <x v="1"/>
    <n v="4"/>
    <n v="67.959999999999994"/>
    <x v="3"/>
    <n v="258.25"/>
    <x v="332"/>
    <x v="7"/>
    <x v="1"/>
    <x v="3"/>
  </r>
  <r>
    <n v="100027"/>
    <x v="295"/>
    <s v="AD-4044-A"/>
    <x v="9"/>
    <x v="2"/>
    <x v="2"/>
    <x v="0"/>
    <n v="5"/>
    <n v="21.43"/>
    <x v="0"/>
    <n v="107.15"/>
    <x v="333"/>
    <x v="35"/>
    <x v="0"/>
    <x v="1"/>
  </r>
  <r>
    <n v="101157"/>
    <x v="296"/>
    <s v="AD-2544-B"/>
    <x v="7"/>
    <x v="1"/>
    <x v="1"/>
    <x v="0"/>
    <n v="2"/>
    <n v="165.61"/>
    <x v="0"/>
    <n v="331.22"/>
    <x v="334"/>
    <x v="22"/>
    <x v="0"/>
    <x v="7"/>
  </r>
  <r>
    <n v="100361"/>
    <x v="297"/>
    <s v="AD-2661-D"/>
    <x v="4"/>
    <x v="2"/>
    <x v="2"/>
    <x v="1"/>
    <n v="4"/>
    <n v="70.709999999999994"/>
    <x v="0"/>
    <n v="282.83999999999997"/>
    <x v="335"/>
    <x v="9"/>
    <x v="1"/>
    <x v="2"/>
  </r>
  <r>
    <n v="100822"/>
    <x v="275"/>
    <s v="AD-7815-D"/>
    <x v="2"/>
    <x v="1"/>
    <x v="4"/>
    <x v="0"/>
    <n v="1"/>
    <n v="98.91"/>
    <x v="0"/>
    <n v="98.91"/>
    <x v="336"/>
    <x v="23"/>
    <x v="0"/>
    <x v="1"/>
  </r>
  <r>
    <n v="100780"/>
    <x v="298"/>
    <s v="AD-5289-B"/>
    <x v="8"/>
    <x v="2"/>
    <x v="0"/>
    <x v="2"/>
    <n v="3"/>
    <n v="14.79"/>
    <x v="0"/>
    <n v="44.37"/>
    <x v="337"/>
    <x v="5"/>
    <x v="0"/>
    <x v="6"/>
  </r>
  <r>
    <n v="100628"/>
    <x v="299"/>
    <s v="AD-8294-B"/>
    <x v="17"/>
    <x v="2"/>
    <x v="4"/>
    <x v="1"/>
    <n v="4"/>
    <n v="41.47"/>
    <x v="0"/>
    <n v="165.88"/>
    <x v="338"/>
    <x v="16"/>
    <x v="1"/>
    <x v="1"/>
  </r>
  <r>
    <n v="100453"/>
    <x v="268"/>
    <s v="AD-1745-A"/>
    <x v="13"/>
    <x v="0"/>
    <x v="0"/>
    <x v="1"/>
    <n v="3"/>
    <n v="129.72999999999999"/>
    <x v="2"/>
    <n v="350.27"/>
    <x v="339"/>
    <x v="4"/>
    <x v="0"/>
    <x v="1"/>
  </r>
  <r>
    <n v="100738"/>
    <x v="300"/>
    <s v="AD-8793-C"/>
    <x v="3"/>
    <x v="2"/>
    <x v="1"/>
    <x v="3"/>
    <n v="2"/>
    <n v="21.15"/>
    <x v="1"/>
    <n v="33.840000000000003"/>
    <x v="340"/>
    <x v="5"/>
    <x v="1"/>
    <x v="1"/>
  </r>
  <r>
    <n v="100535"/>
    <x v="301"/>
    <s v="AD-2850-B"/>
    <x v="9"/>
    <x v="2"/>
    <x v="4"/>
    <x v="2"/>
    <n v="2"/>
    <n v="22.95"/>
    <x v="0"/>
    <n v="45.9"/>
    <x v="341"/>
    <x v="8"/>
    <x v="0"/>
    <x v="6"/>
  </r>
  <r>
    <n v="101049"/>
    <x v="302"/>
    <s v="AD-6317-A"/>
    <x v="5"/>
    <x v="0"/>
    <x v="4"/>
    <x v="0"/>
    <n v="4"/>
    <n v="75.430000000000007"/>
    <x v="0"/>
    <n v="301.72000000000003"/>
    <x v="342"/>
    <x v="3"/>
    <x v="0"/>
    <x v="4"/>
  </r>
  <r>
    <n v="100398"/>
    <x v="303"/>
    <s v="AD-3250-B"/>
    <x v="18"/>
    <x v="1"/>
    <x v="1"/>
    <x v="0"/>
    <n v="3"/>
    <n v="67.58"/>
    <x v="0"/>
    <n v="202.74"/>
    <x v="343"/>
    <x v="2"/>
    <x v="1"/>
    <x v="3"/>
  </r>
  <r>
    <n v="100256"/>
    <x v="304"/>
    <s v="AD-1280-D"/>
    <x v="6"/>
    <x v="1"/>
    <x v="1"/>
    <x v="0"/>
    <n v="5"/>
    <n v="172.7"/>
    <x v="0"/>
    <n v="863.5"/>
    <x v="344"/>
    <x v="9"/>
    <x v="0"/>
    <x v="0"/>
  </r>
  <r>
    <n v="100291"/>
    <x v="305"/>
    <s v="AD-3258-D"/>
    <x v="5"/>
    <x v="0"/>
    <x v="4"/>
    <x v="1"/>
    <n v="3"/>
    <n v="68.91"/>
    <x v="3"/>
    <n v="196.39"/>
    <x v="345"/>
    <x v="16"/>
    <x v="1"/>
    <x v="2"/>
  </r>
  <r>
    <n v="100025"/>
    <x v="202"/>
    <s v="AD-7930-D"/>
    <x v="12"/>
    <x v="0"/>
    <x v="1"/>
    <x v="3"/>
    <n v="2"/>
    <n v="134.36000000000001"/>
    <x v="2"/>
    <n v="241.85"/>
    <x v="346"/>
    <x v="3"/>
    <x v="0"/>
    <x v="0"/>
  </r>
  <r>
    <n v="100336"/>
    <x v="306"/>
    <s v="AD-6211-D"/>
    <x v="14"/>
    <x v="1"/>
    <x v="4"/>
    <x v="0"/>
    <n v="1"/>
    <n v="212.26"/>
    <x v="1"/>
    <n v="169.81"/>
    <x v="347"/>
    <x v="18"/>
    <x v="0"/>
    <x v="4"/>
  </r>
  <r>
    <n v="100584"/>
    <x v="65"/>
    <s v="AD-6323-D"/>
    <x v="16"/>
    <x v="1"/>
    <x v="4"/>
    <x v="3"/>
    <n v="2"/>
    <n v="34"/>
    <x v="0"/>
    <n v="68"/>
    <x v="348"/>
    <x v="19"/>
    <x v="2"/>
    <x v="5"/>
  </r>
  <r>
    <n v="100047"/>
    <x v="307"/>
    <s v="AD-8618-D"/>
    <x v="6"/>
    <x v="1"/>
    <x v="4"/>
    <x v="1"/>
    <n v="2"/>
    <n v="194.87"/>
    <x v="3"/>
    <n v="370.25"/>
    <x v="349"/>
    <x v="19"/>
    <x v="0"/>
    <x v="4"/>
  </r>
  <r>
    <n v="100318"/>
    <x v="308"/>
    <s v="AD-1273-A"/>
    <x v="17"/>
    <x v="2"/>
    <x v="1"/>
    <x v="0"/>
    <n v="4"/>
    <n v="37.880000000000003"/>
    <x v="3"/>
    <n v="143.94"/>
    <x v="350"/>
    <x v="5"/>
    <x v="1"/>
    <x v="1"/>
  </r>
  <r>
    <n v="100106"/>
    <x v="154"/>
    <s v="AD-7302-D"/>
    <x v="0"/>
    <x v="0"/>
    <x v="1"/>
    <x v="0"/>
    <n v="4"/>
    <n v="47.21"/>
    <x v="0"/>
    <n v="188.84"/>
    <x v="351"/>
    <x v="21"/>
    <x v="0"/>
    <x v="6"/>
  </r>
  <r>
    <n v="100798"/>
    <x v="309"/>
    <s v="AD-6323-B"/>
    <x v="1"/>
    <x v="0"/>
    <x v="4"/>
    <x v="3"/>
    <n v="4"/>
    <n v="24.24"/>
    <x v="0"/>
    <n v="96.96"/>
    <x v="352"/>
    <x v="16"/>
    <x v="0"/>
    <x v="5"/>
  </r>
  <r>
    <n v="100055"/>
    <x v="310"/>
    <s v="AD-6421-D"/>
    <x v="14"/>
    <x v="1"/>
    <x v="0"/>
    <x v="1"/>
    <n v="1"/>
    <n v="234.95"/>
    <x v="1"/>
    <n v="187.96"/>
    <x v="353"/>
    <x v="24"/>
    <x v="1"/>
    <x v="2"/>
  </r>
  <r>
    <n v="100522"/>
    <x v="311"/>
    <s v="AD-8480-D"/>
    <x v="8"/>
    <x v="2"/>
    <x v="1"/>
    <x v="0"/>
    <n v="2"/>
    <n v="14.5"/>
    <x v="0"/>
    <n v="29"/>
    <x v="354"/>
    <x v="5"/>
    <x v="0"/>
    <x v="3"/>
  </r>
  <r>
    <n v="100213"/>
    <x v="312"/>
    <s v="AD-4396-D"/>
    <x v="5"/>
    <x v="0"/>
    <x v="4"/>
    <x v="3"/>
    <n v="3"/>
    <n v="72.52"/>
    <x v="4"/>
    <n v="130.54"/>
    <x v="355"/>
    <x v="20"/>
    <x v="2"/>
    <x v="0"/>
  </r>
  <r>
    <n v="100120"/>
    <x v="281"/>
    <s v="AD-1349-A"/>
    <x v="16"/>
    <x v="1"/>
    <x v="3"/>
    <x v="2"/>
    <n v="3"/>
    <n v="33.35"/>
    <x v="0"/>
    <n v="100.05"/>
    <x v="356"/>
    <x v="15"/>
    <x v="1"/>
    <x v="6"/>
  </r>
  <r>
    <n v="100917"/>
    <x v="313"/>
    <s v="AD-5991-A"/>
    <x v="12"/>
    <x v="0"/>
    <x v="1"/>
    <x v="1"/>
    <n v="1"/>
    <n v="121.1"/>
    <x v="2"/>
    <n v="108.99"/>
    <x v="357"/>
    <x v="5"/>
    <x v="1"/>
    <x v="5"/>
  </r>
  <r>
    <n v="101067"/>
    <x v="314"/>
    <s v="AD-8885-D"/>
    <x v="13"/>
    <x v="0"/>
    <x v="4"/>
    <x v="0"/>
    <n v="3"/>
    <n v="119.28"/>
    <x v="0"/>
    <n v="357.84"/>
    <x v="358"/>
    <x v="4"/>
    <x v="1"/>
    <x v="2"/>
  </r>
  <r>
    <n v="101117"/>
    <x v="315"/>
    <s v="AD-3605-C"/>
    <x v="14"/>
    <x v="1"/>
    <x v="0"/>
    <x v="1"/>
    <n v="6"/>
    <n v="234.25"/>
    <x v="0"/>
    <n v="1405.5"/>
    <x v="359"/>
    <x v="33"/>
    <x v="0"/>
    <x v="0"/>
  </r>
  <r>
    <n v="100072"/>
    <x v="12"/>
    <s v="AD-9698-C"/>
    <x v="0"/>
    <x v="0"/>
    <x v="0"/>
    <x v="0"/>
    <n v="2"/>
    <n v="48.61"/>
    <x v="1"/>
    <n v="77.78"/>
    <x v="360"/>
    <x v="28"/>
    <x v="0"/>
    <x v="5"/>
  </r>
  <r>
    <n v="100947"/>
    <x v="90"/>
    <s v="AD-1853-B"/>
    <x v="13"/>
    <x v="0"/>
    <x v="0"/>
    <x v="0"/>
    <n v="4"/>
    <n v="127.11"/>
    <x v="1"/>
    <n v="406.75"/>
    <x v="361"/>
    <x v="18"/>
    <x v="1"/>
    <x v="6"/>
  </r>
  <r>
    <n v="100746"/>
    <x v="316"/>
    <s v="AD-1517-D"/>
    <x v="9"/>
    <x v="2"/>
    <x v="4"/>
    <x v="0"/>
    <n v="2"/>
    <n v="18.37"/>
    <x v="3"/>
    <n v="34.9"/>
    <x v="362"/>
    <x v="16"/>
    <x v="0"/>
    <x v="7"/>
  </r>
  <r>
    <n v="100715"/>
    <x v="317"/>
    <s v="AD-7786-B"/>
    <x v="4"/>
    <x v="2"/>
    <x v="4"/>
    <x v="2"/>
    <n v="3"/>
    <n v="57.29"/>
    <x v="0"/>
    <n v="171.87"/>
    <x v="363"/>
    <x v="8"/>
    <x v="0"/>
    <x v="2"/>
  </r>
  <r>
    <n v="100557"/>
    <x v="318"/>
    <s v="AD-5921-A"/>
    <x v="16"/>
    <x v="1"/>
    <x v="0"/>
    <x v="1"/>
    <n v="1"/>
    <n v="36.42"/>
    <x v="0"/>
    <n v="36.42"/>
    <x v="364"/>
    <x v="6"/>
    <x v="1"/>
    <x v="1"/>
  </r>
  <r>
    <n v="101081"/>
    <x v="319"/>
    <s v="AD-9873-A"/>
    <x v="2"/>
    <x v="1"/>
    <x v="0"/>
    <x v="0"/>
    <n v="3"/>
    <n v="110.01"/>
    <x v="3"/>
    <n v="313.52999999999997"/>
    <x v="365"/>
    <x v="27"/>
    <x v="1"/>
    <x v="3"/>
  </r>
  <r>
    <n v="101045"/>
    <x v="251"/>
    <s v="AD-7393-D"/>
    <x v="8"/>
    <x v="2"/>
    <x v="3"/>
    <x v="0"/>
    <n v="4"/>
    <n v="17.440000000000001"/>
    <x v="0"/>
    <n v="69.760000000000005"/>
    <x v="366"/>
    <x v="27"/>
    <x v="0"/>
    <x v="2"/>
  </r>
  <r>
    <n v="100552"/>
    <x v="19"/>
    <s v="AD-4943-B"/>
    <x v="13"/>
    <x v="0"/>
    <x v="1"/>
    <x v="1"/>
    <n v="5"/>
    <n v="128.94999999999999"/>
    <x v="0"/>
    <n v="644.75"/>
    <x v="367"/>
    <x v="9"/>
    <x v="0"/>
    <x v="4"/>
  </r>
  <r>
    <n v="100561"/>
    <x v="104"/>
    <s v="AD-3425-B"/>
    <x v="3"/>
    <x v="2"/>
    <x v="0"/>
    <x v="0"/>
    <n v="1"/>
    <n v="17.79"/>
    <x v="0"/>
    <n v="17.79"/>
    <x v="368"/>
    <x v="34"/>
    <x v="1"/>
    <x v="2"/>
  </r>
  <r>
    <n v="100424"/>
    <x v="153"/>
    <s v="AD-1587-A"/>
    <x v="13"/>
    <x v="0"/>
    <x v="1"/>
    <x v="1"/>
    <n v="2"/>
    <n v="106.07"/>
    <x v="2"/>
    <n v="190.93"/>
    <x v="280"/>
    <x v="17"/>
    <x v="1"/>
    <x v="2"/>
  </r>
  <r>
    <n v="101013"/>
    <x v="249"/>
    <s v="AD-1866-C"/>
    <x v="6"/>
    <x v="1"/>
    <x v="0"/>
    <x v="1"/>
    <n v="3"/>
    <n v="196.56"/>
    <x v="0"/>
    <n v="589.67999999999995"/>
    <x v="369"/>
    <x v="19"/>
    <x v="1"/>
    <x v="0"/>
  </r>
  <r>
    <n v="100325"/>
    <x v="320"/>
    <s v="AD-7024-B"/>
    <x v="17"/>
    <x v="2"/>
    <x v="1"/>
    <x v="1"/>
    <n v="3"/>
    <n v="40.61"/>
    <x v="0"/>
    <n v="121.83"/>
    <x v="370"/>
    <x v="4"/>
    <x v="1"/>
    <x v="3"/>
  </r>
  <r>
    <n v="100923"/>
    <x v="321"/>
    <s v="AD-8539-D"/>
    <x v="12"/>
    <x v="0"/>
    <x v="4"/>
    <x v="0"/>
    <n v="3"/>
    <n v="143.41999999999999"/>
    <x v="0"/>
    <n v="430.26"/>
    <x v="371"/>
    <x v="17"/>
    <x v="0"/>
    <x v="5"/>
  </r>
  <r>
    <n v="100316"/>
    <x v="296"/>
    <s v="AD-9108-D"/>
    <x v="10"/>
    <x v="2"/>
    <x v="4"/>
    <x v="0"/>
    <n v="4"/>
    <n v="37.36"/>
    <x v="0"/>
    <n v="149.44"/>
    <x v="372"/>
    <x v="13"/>
    <x v="0"/>
    <x v="6"/>
  </r>
  <r>
    <n v="100803"/>
    <x v="322"/>
    <s v="AD-8112-D"/>
    <x v="1"/>
    <x v="0"/>
    <x v="1"/>
    <x v="1"/>
    <n v="3"/>
    <n v="26.21"/>
    <x v="0"/>
    <n v="78.63"/>
    <x v="373"/>
    <x v="11"/>
    <x v="0"/>
    <x v="3"/>
  </r>
  <r>
    <n v="101162"/>
    <x v="229"/>
    <s v="AD-6747-C"/>
    <x v="14"/>
    <x v="1"/>
    <x v="4"/>
    <x v="2"/>
    <n v="1"/>
    <n v="214.74"/>
    <x v="0"/>
    <n v="214.74"/>
    <x v="374"/>
    <x v="10"/>
    <x v="1"/>
    <x v="5"/>
  </r>
  <r>
    <n v="100528"/>
    <x v="323"/>
    <s v="AD-5458-D"/>
    <x v="16"/>
    <x v="1"/>
    <x v="4"/>
    <x v="0"/>
    <n v="3"/>
    <n v="38.49"/>
    <x v="0"/>
    <n v="115.47"/>
    <x v="375"/>
    <x v="9"/>
    <x v="0"/>
    <x v="5"/>
  </r>
  <r>
    <n v="100836"/>
    <x v="324"/>
    <s v="AD-2380-A"/>
    <x v="11"/>
    <x v="0"/>
    <x v="0"/>
    <x v="0"/>
    <n v="3"/>
    <n v="33.74"/>
    <x v="0"/>
    <n v="101.22"/>
    <x v="376"/>
    <x v="13"/>
    <x v="1"/>
    <x v="0"/>
  </r>
  <r>
    <n v="100714"/>
    <x v="325"/>
    <s v="AD-4533-D"/>
    <x v="11"/>
    <x v="0"/>
    <x v="1"/>
    <x v="0"/>
    <n v="2"/>
    <n v="31.34"/>
    <x v="2"/>
    <n v="56.41"/>
    <x v="377"/>
    <x v="31"/>
    <x v="1"/>
    <x v="1"/>
  </r>
  <r>
    <n v="100900"/>
    <x v="326"/>
    <s v="AD-5006-A"/>
    <x v="14"/>
    <x v="1"/>
    <x v="4"/>
    <x v="0"/>
    <n v="4"/>
    <n v="213.99"/>
    <x v="0"/>
    <n v="855.96"/>
    <x v="378"/>
    <x v="5"/>
    <x v="1"/>
    <x v="2"/>
  </r>
  <r>
    <n v="100060"/>
    <x v="327"/>
    <s v="AD-5558-D"/>
    <x v="15"/>
    <x v="1"/>
    <x v="1"/>
    <x v="1"/>
    <n v="2"/>
    <n v="172.95"/>
    <x v="4"/>
    <n v="207.54"/>
    <x v="379"/>
    <x v="11"/>
    <x v="1"/>
    <x v="2"/>
  </r>
  <r>
    <n v="100722"/>
    <x v="180"/>
    <s v="AD-3219-C"/>
    <x v="17"/>
    <x v="2"/>
    <x v="4"/>
    <x v="1"/>
    <n v="1"/>
    <n v="39.979999999999997"/>
    <x v="2"/>
    <n v="35.979999999999997"/>
    <x v="380"/>
    <x v="8"/>
    <x v="1"/>
    <x v="5"/>
  </r>
  <r>
    <n v="100092"/>
    <x v="328"/>
    <s v="AD-7684-A"/>
    <x v="6"/>
    <x v="1"/>
    <x v="0"/>
    <x v="0"/>
    <n v="2"/>
    <n v="180.41"/>
    <x v="0"/>
    <n v="360.82"/>
    <x v="381"/>
    <x v="12"/>
    <x v="1"/>
    <x v="7"/>
  </r>
  <r>
    <n v="100857"/>
    <x v="101"/>
    <s v="AD-5187-A"/>
    <x v="1"/>
    <x v="0"/>
    <x v="3"/>
    <x v="1"/>
    <n v="1"/>
    <n v="23.3"/>
    <x v="2"/>
    <n v="20.97"/>
    <x v="382"/>
    <x v="9"/>
    <x v="1"/>
    <x v="3"/>
  </r>
  <r>
    <n v="100618"/>
    <x v="169"/>
    <s v="AD-6218-C"/>
    <x v="18"/>
    <x v="1"/>
    <x v="0"/>
    <x v="1"/>
    <n v="6"/>
    <n v="96.78"/>
    <x v="2"/>
    <n v="522.61"/>
    <x v="383"/>
    <x v="18"/>
    <x v="1"/>
    <x v="4"/>
  </r>
  <r>
    <n v="100351"/>
    <x v="329"/>
    <s v="AD-6761-B"/>
    <x v="7"/>
    <x v="1"/>
    <x v="0"/>
    <x v="2"/>
    <n v="4"/>
    <n v="137.62"/>
    <x v="1"/>
    <n v="440.38"/>
    <x v="384"/>
    <x v="18"/>
    <x v="0"/>
    <x v="7"/>
  </r>
  <r>
    <n v="100932"/>
    <x v="330"/>
    <s v="AD-9721-B"/>
    <x v="6"/>
    <x v="1"/>
    <x v="4"/>
    <x v="0"/>
    <n v="4"/>
    <n v="158.80000000000001"/>
    <x v="0"/>
    <n v="635.20000000000005"/>
    <x v="385"/>
    <x v="20"/>
    <x v="1"/>
    <x v="7"/>
  </r>
  <r>
    <n v="100280"/>
    <x v="331"/>
    <s v="AD-6432-D"/>
    <x v="5"/>
    <x v="0"/>
    <x v="1"/>
    <x v="1"/>
    <n v="2"/>
    <n v="69.319999999999993"/>
    <x v="0"/>
    <n v="138.63999999999999"/>
    <x v="386"/>
    <x v="0"/>
    <x v="1"/>
    <x v="2"/>
  </r>
  <r>
    <n v="100420"/>
    <x v="332"/>
    <s v="AD-8895-C"/>
    <x v="13"/>
    <x v="0"/>
    <x v="0"/>
    <x v="1"/>
    <n v="6"/>
    <n v="107.1"/>
    <x v="0"/>
    <n v="642.6"/>
    <x v="387"/>
    <x v="8"/>
    <x v="1"/>
    <x v="6"/>
  </r>
  <r>
    <n v="101114"/>
    <x v="74"/>
    <s v="AD-6490-B"/>
    <x v="4"/>
    <x v="2"/>
    <x v="4"/>
    <x v="1"/>
    <n v="1"/>
    <n v="53.66"/>
    <x v="2"/>
    <n v="48.29"/>
    <x v="388"/>
    <x v="7"/>
    <x v="0"/>
    <x v="4"/>
  </r>
  <r>
    <n v="100359"/>
    <x v="333"/>
    <s v="AD-6500-D"/>
    <x v="13"/>
    <x v="0"/>
    <x v="4"/>
    <x v="3"/>
    <n v="5"/>
    <n v="122.2"/>
    <x v="0"/>
    <n v="611"/>
    <x v="389"/>
    <x v="8"/>
    <x v="1"/>
    <x v="1"/>
  </r>
  <r>
    <n v="100422"/>
    <x v="209"/>
    <s v="AD-1824-B"/>
    <x v="9"/>
    <x v="2"/>
    <x v="4"/>
    <x v="1"/>
    <n v="5"/>
    <n v="21.28"/>
    <x v="0"/>
    <n v="106.4"/>
    <x v="390"/>
    <x v="25"/>
    <x v="1"/>
    <x v="0"/>
  </r>
  <r>
    <n v="100678"/>
    <x v="334"/>
    <s v="AD-8605-B"/>
    <x v="18"/>
    <x v="1"/>
    <x v="3"/>
    <x v="1"/>
    <n v="6"/>
    <n v="89.06"/>
    <x v="0"/>
    <n v="534.36"/>
    <x v="391"/>
    <x v="5"/>
    <x v="0"/>
    <x v="6"/>
  </r>
  <r>
    <n v="100526"/>
    <x v="166"/>
    <s v="AD-7467-B"/>
    <x v="5"/>
    <x v="0"/>
    <x v="1"/>
    <x v="0"/>
    <n v="5"/>
    <n v="73.03"/>
    <x v="0"/>
    <n v="365.15"/>
    <x v="392"/>
    <x v="7"/>
    <x v="0"/>
    <x v="2"/>
  </r>
  <r>
    <n v="100477"/>
    <x v="335"/>
    <s v="AD-3979-C"/>
    <x v="19"/>
    <x v="1"/>
    <x v="2"/>
    <x v="0"/>
    <n v="2"/>
    <n v="123.83"/>
    <x v="0"/>
    <n v="247.66"/>
    <x v="393"/>
    <x v="8"/>
    <x v="0"/>
    <x v="3"/>
  </r>
  <r>
    <n v="101094"/>
    <x v="336"/>
    <s v="AD-5762-D"/>
    <x v="15"/>
    <x v="1"/>
    <x v="4"/>
    <x v="2"/>
    <n v="4"/>
    <n v="129.38"/>
    <x v="0"/>
    <n v="517.52"/>
    <x v="394"/>
    <x v="10"/>
    <x v="1"/>
    <x v="1"/>
  </r>
  <r>
    <n v="100182"/>
    <x v="337"/>
    <s v="AD-3513-D"/>
    <x v="2"/>
    <x v="1"/>
    <x v="0"/>
    <x v="0"/>
    <n v="3"/>
    <n v="99.33"/>
    <x v="1"/>
    <n v="238.39"/>
    <x v="395"/>
    <x v="11"/>
    <x v="0"/>
    <x v="7"/>
  </r>
  <r>
    <n v="101091"/>
    <x v="126"/>
    <s v="AD-8242-B"/>
    <x v="2"/>
    <x v="1"/>
    <x v="0"/>
    <x v="1"/>
    <n v="3"/>
    <n v="97.04"/>
    <x v="2"/>
    <n v="262.01"/>
    <x v="396"/>
    <x v="23"/>
    <x v="2"/>
    <x v="0"/>
  </r>
  <r>
    <n v="100432"/>
    <x v="22"/>
    <s v="AD-9259-D"/>
    <x v="17"/>
    <x v="2"/>
    <x v="0"/>
    <x v="0"/>
    <n v="3"/>
    <n v="38.090000000000003"/>
    <x v="1"/>
    <n v="91.42"/>
    <x v="397"/>
    <x v="8"/>
    <x v="0"/>
    <x v="4"/>
  </r>
  <r>
    <n v="100110"/>
    <x v="338"/>
    <s v="AD-7807-B"/>
    <x v="3"/>
    <x v="2"/>
    <x v="1"/>
    <x v="0"/>
    <n v="3"/>
    <n v="17.64"/>
    <x v="2"/>
    <n v="47.63"/>
    <x v="398"/>
    <x v="3"/>
    <x v="0"/>
    <x v="4"/>
  </r>
  <r>
    <n v="100370"/>
    <x v="339"/>
    <s v="AD-9871-D"/>
    <x v="1"/>
    <x v="0"/>
    <x v="4"/>
    <x v="1"/>
    <n v="4"/>
    <n v="24.73"/>
    <x v="0"/>
    <n v="98.92"/>
    <x v="399"/>
    <x v="34"/>
    <x v="1"/>
    <x v="4"/>
  </r>
  <r>
    <n v="100239"/>
    <x v="340"/>
    <s v="AD-1724-D"/>
    <x v="18"/>
    <x v="1"/>
    <x v="1"/>
    <x v="1"/>
    <n v="5"/>
    <n v="76.77"/>
    <x v="0"/>
    <n v="383.85"/>
    <x v="400"/>
    <x v="19"/>
    <x v="0"/>
    <x v="6"/>
  </r>
  <r>
    <n v="100708"/>
    <x v="341"/>
    <s v="AD-6246-B"/>
    <x v="0"/>
    <x v="0"/>
    <x v="4"/>
    <x v="3"/>
    <n v="3"/>
    <n v="57.58"/>
    <x v="2"/>
    <n v="155.47"/>
    <x v="401"/>
    <x v="12"/>
    <x v="0"/>
    <x v="5"/>
  </r>
  <r>
    <n v="100629"/>
    <x v="342"/>
    <s v="AD-6364-D"/>
    <x v="12"/>
    <x v="0"/>
    <x v="4"/>
    <x v="2"/>
    <n v="4"/>
    <n v="124.82"/>
    <x v="2"/>
    <n v="449.35"/>
    <x v="402"/>
    <x v="21"/>
    <x v="0"/>
    <x v="2"/>
  </r>
  <r>
    <n v="100593"/>
    <x v="171"/>
    <s v="AD-3155-B"/>
    <x v="0"/>
    <x v="0"/>
    <x v="0"/>
    <x v="0"/>
    <n v="2"/>
    <n v="53.17"/>
    <x v="3"/>
    <n v="101.02"/>
    <x v="403"/>
    <x v="13"/>
    <x v="0"/>
    <x v="1"/>
  </r>
  <r>
    <n v="100485"/>
    <x v="40"/>
    <s v="AD-5514-D"/>
    <x v="14"/>
    <x v="1"/>
    <x v="0"/>
    <x v="0"/>
    <n v="3"/>
    <n v="211.95"/>
    <x v="3"/>
    <n v="604.05999999999995"/>
    <x v="404"/>
    <x v="17"/>
    <x v="1"/>
    <x v="4"/>
  </r>
  <r>
    <n v="100700"/>
    <x v="50"/>
    <s v="AD-5521-A"/>
    <x v="2"/>
    <x v="1"/>
    <x v="4"/>
    <x v="3"/>
    <n v="5"/>
    <n v="89.74"/>
    <x v="3"/>
    <n v="426.26"/>
    <x v="405"/>
    <x v="27"/>
    <x v="1"/>
    <x v="3"/>
  </r>
  <r>
    <n v="100261"/>
    <x v="343"/>
    <s v="AD-3938-C"/>
    <x v="17"/>
    <x v="2"/>
    <x v="4"/>
    <x v="0"/>
    <n v="6"/>
    <n v="39.33"/>
    <x v="3"/>
    <n v="224.18"/>
    <x v="406"/>
    <x v="18"/>
    <x v="0"/>
    <x v="7"/>
  </r>
  <r>
    <n v="100479"/>
    <x v="344"/>
    <s v="AD-3906-D"/>
    <x v="10"/>
    <x v="2"/>
    <x v="1"/>
    <x v="0"/>
    <n v="4"/>
    <n v="40.33"/>
    <x v="0"/>
    <n v="161.32"/>
    <x v="407"/>
    <x v="23"/>
    <x v="1"/>
    <x v="1"/>
  </r>
  <r>
    <n v="100649"/>
    <x v="345"/>
    <s v="AD-8803-B"/>
    <x v="1"/>
    <x v="0"/>
    <x v="4"/>
    <x v="0"/>
    <n v="2"/>
    <n v="22.33"/>
    <x v="0"/>
    <n v="44.66"/>
    <x v="408"/>
    <x v="27"/>
    <x v="1"/>
    <x v="0"/>
  </r>
  <r>
    <n v="100339"/>
    <x v="346"/>
    <s v="AD-4522-C"/>
    <x v="18"/>
    <x v="1"/>
    <x v="0"/>
    <x v="0"/>
    <n v="3"/>
    <n v="81.069999999999993"/>
    <x v="2"/>
    <n v="218.89"/>
    <x v="409"/>
    <x v="0"/>
    <x v="0"/>
    <x v="7"/>
  </r>
  <r>
    <n v="100668"/>
    <x v="347"/>
    <s v="AD-9791-B"/>
    <x v="13"/>
    <x v="0"/>
    <x v="4"/>
    <x v="0"/>
    <n v="3"/>
    <n v="113.96"/>
    <x v="0"/>
    <n v="341.88"/>
    <x v="410"/>
    <x v="34"/>
    <x v="0"/>
    <x v="5"/>
  </r>
  <r>
    <n v="100551"/>
    <x v="348"/>
    <s v="AD-6772-C"/>
    <x v="7"/>
    <x v="1"/>
    <x v="1"/>
    <x v="1"/>
    <n v="5"/>
    <n v="160.13"/>
    <x v="0"/>
    <n v="800.65"/>
    <x v="411"/>
    <x v="30"/>
    <x v="1"/>
    <x v="5"/>
  </r>
  <r>
    <n v="100458"/>
    <x v="349"/>
    <s v="AD-3971-A"/>
    <x v="10"/>
    <x v="2"/>
    <x v="4"/>
    <x v="1"/>
    <n v="3"/>
    <n v="45.06"/>
    <x v="2"/>
    <n v="121.66"/>
    <x v="412"/>
    <x v="9"/>
    <x v="1"/>
    <x v="1"/>
  </r>
  <r>
    <n v="100183"/>
    <x v="313"/>
    <s v="AD-6150-C"/>
    <x v="11"/>
    <x v="0"/>
    <x v="0"/>
    <x v="1"/>
    <n v="2"/>
    <n v="31.18"/>
    <x v="3"/>
    <n v="59.24"/>
    <x v="286"/>
    <x v="25"/>
    <x v="1"/>
    <x v="2"/>
  </r>
  <r>
    <n v="100137"/>
    <x v="192"/>
    <s v="AD-1815-A"/>
    <x v="13"/>
    <x v="0"/>
    <x v="0"/>
    <x v="0"/>
    <n v="3"/>
    <n v="103.58"/>
    <x v="0"/>
    <n v="310.74"/>
    <x v="413"/>
    <x v="3"/>
    <x v="1"/>
    <x v="3"/>
  </r>
  <r>
    <n v="101160"/>
    <x v="37"/>
    <s v="AD-8763-A"/>
    <x v="1"/>
    <x v="0"/>
    <x v="4"/>
    <x v="1"/>
    <n v="3"/>
    <n v="25.83"/>
    <x v="0"/>
    <n v="77.489999999999995"/>
    <x v="414"/>
    <x v="17"/>
    <x v="1"/>
    <x v="4"/>
  </r>
  <r>
    <n v="100706"/>
    <x v="350"/>
    <s v="AD-5266-C"/>
    <x v="14"/>
    <x v="1"/>
    <x v="4"/>
    <x v="3"/>
    <n v="2"/>
    <n v="203.8"/>
    <x v="1"/>
    <n v="326.08"/>
    <x v="415"/>
    <x v="23"/>
    <x v="0"/>
    <x v="5"/>
  </r>
  <r>
    <n v="100581"/>
    <x v="351"/>
    <s v="AD-4783-B"/>
    <x v="1"/>
    <x v="0"/>
    <x v="4"/>
    <x v="0"/>
    <n v="1"/>
    <n v="24.55"/>
    <x v="1"/>
    <n v="19.64"/>
    <x v="416"/>
    <x v="30"/>
    <x v="1"/>
    <x v="0"/>
  </r>
  <r>
    <n v="100080"/>
    <x v="352"/>
    <s v="AD-4404-B"/>
    <x v="17"/>
    <x v="2"/>
    <x v="1"/>
    <x v="1"/>
    <n v="5"/>
    <n v="40.369999999999997"/>
    <x v="0"/>
    <n v="201.85"/>
    <x v="417"/>
    <x v="0"/>
    <x v="0"/>
    <x v="1"/>
  </r>
  <r>
    <n v="100768"/>
    <x v="353"/>
    <s v="AD-9034-C"/>
    <x v="14"/>
    <x v="1"/>
    <x v="4"/>
    <x v="0"/>
    <n v="3"/>
    <n v="238.57"/>
    <x v="2"/>
    <n v="644.14"/>
    <x v="418"/>
    <x v="11"/>
    <x v="1"/>
    <x v="7"/>
  </r>
  <r>
    <n v="100869"/>
    <x v="354"/>
    <s v="AD-9816-A"/>
    <x v="6"/>
    <x v="1"/>
    <x v="1"/>
    <x v="2"/>
    <n v="4"/>
    <n v="179.15"/>
    <x v="0"/>
    <n v="716.6"/>
    <x v="419"/>
    <x v="9"/>
    <x v="0"/>
    <x v="2"/>
  </r>
  <r>
    <n v="100761"/>
    <x v="138"/>
    <s v="AD-5201-B"/>
    <x v="2"/>
    <x v="1"/>
    <x v="2"/>
    <x v="0"/>
    <n v="3"/>
    <n v="107.31"/>
    <x v="0"/>
    <n v="321.93"/>
    <x v="420"/>
    <x v="16"/>
    <x v="1"/>
    <x v="3"/>
  </r>
  <r>
    <n v="100029"/>
    <x v="171"/>
    <s v="AD-4910-C"/>
    <x v="17"/>
    <x v="2"/>
    <x v="1"/>
    <x v="0"/>
    <n v="4"/>
    <n v="40.950000000000003"/>
    <x v="0"/>
    <n v="163.80000000000001"/>
    <x v="421"/>
    <x v="19"/>
    <x v="0"/>
    <x v="4"/>
  </r>
  <r>
    <n v="100541"/>
    <x v="355"/>
    <s v="AD-2128-B"/>
    <x v="11"/>
    <x v="0"/>
    <x v="1"/>
    <x v="2"/>
    <n v="3"/>
    <n v="28.77"/>
    <x v="3"/>
    <n v="81.99"/>
    <x v="422"/>
    <x v="18"/>
    <x v="0"/>
    <x v="3"/>
  </r>
  <r>
    <n v="100165"/>
    <x v="356"/>
    <s v="AD-7142-B"/>
    <x v="6"/>
    <x v="1"/>
    <x v="1"/>
    <x v="0"/>
    <n v="3"/>
    <n v="161.88999999999999"/>
    <x v="3"/>
    <n v="461.39"/>
    <x v="423"/>
    <x v="21"/>
    <x v="1"/>
    <x v="1"/>
  </r>
  <r>
    <n v="100248"/>
    <x v="357"/>
    <s v="AD-4974-B"/>
    <x v="6"/>
    <x v="1"/>
    <x v="4"/>
    <x v="1"/>
    <n v="2"/>
    <n v="200.02"/>
    <x v="1"/>
    <n v="320.02999999999997"/>
    <x v="424"/>
    <x v="15"/>
    <x v="0"/>
    <x v="5"/>
  </r>
  <r>
    <n v="100307"/>
    <x v="68"/>
    <s v="AD-4314-B"/>
    <x v="3"/>
    <x v="2"/>
    <x v="2"/>
    <x v="0"/>
    <n v="4"/>
    <n v="16.940000000000001"/>
    <x v="2"/>
    <n v="60.98"/>
    <x v="425"/>
    <x v="2"/>
    <x v="1"/>
    <x v="2"/>
  </r>
  <r>
    <n v="100447"/>
    <x v="358"/>
    <s v="AD-1653-C"/>
    <x v="6"/>
    <x v="1"/>
    <x v="1"/>
    <x v="0"/>
    <n v="2"/>
    <n v="181.12"/>
    <x v="2"/>
    <n v="326.02"/>
    <x v="426"/>
    <x v="9"/>
    <x v="0"/>
    <x v="6"/>
  </r>
  <r>
    <n v="100346"/>
    <x v="291"/>
    <s v="AD-3248-D"/>
    <x v="0"/>
    <x v="0"/>
    <x v="2"/>
    <x v="1"/>
    <n v="4"/>
    <n v="55.74"/>
    <x v="3"/>
    <n v="211.81"/>
    <x v="427"/>
    <x v="0"/>
    <x v="1"/>
    <x v="2"/>
  </r>
  <r>
    <n v="100334"/>
    <x v="359"/>
    <s v="AD-9515-D"/>
    <x v="15"/>
    <x v="1"/>
    <x v="4"/>
    <x v="0"/>
    <n v="1"/>
    <n v="150.91"/>
    <x v="0"/>
    <n v="150.91"/>
    <x v="428"/>
    <x v="7"/>
    <x v="1"/>
    <x v="6"/>
  </r>
  <r>
    <n v="100285"/>
    <x v="110"/>
    <s v="AD-4996-B"/>
    <x v="15"/>
    <x v="1"/>
    <x v="4"/>
    <x v="2"/>
    <n v="3"/>
    <n v="157.11000000000001"/>
    <x v="0"/>
    <n v="471.33"/>
    <x v="429"/>
    <x v="19"/>
    <x v="0"/>
    <x v="3"/>
  </r>
  <r>
    <n v="100949"/>
    <x v="360"/>
    <s v="AD-5966-C"/>
    <x v="3"/>
    <x v="2"/>
    <x v="0"/>
    <x v="0"/>
    <n v="2"/>
    <n v="18"/>
    <x v="3"/>
    <n v="34.200000000000003"/>
    <x v="430"/>
    <x v="16"/>
    <x v="1"/>
    <x v="6"/>
  </r>
  <r>
    <n v="100097"/>
    <x v="283"/>
    <s v="AD-7325-B"/>
    <x v="12"/>
    <x v="0"/>
    <x v="0"/>
    <x v="0"/>
    <n v="3"/>
    <n v="124.51"/>
    <x v="1"/>
    <n v="298.82"/>
    <x v="431"/>
    <x v="21"/>
    <x v="0"/>
    <x v="2"/>
  </r>
  <r>
    <n v="100467"/>
    <x v="361"/>
    <s v="AD-9423-B"/>
    <x v="10"/>
    <x v="2"/>
    <x v="1"/>
    <x v="0"/>
    <n v="1"/>
    <n v="44.94"/>
    <x v="2"/>
    <n v="40.450000000000003"/>
    <x v="432"/>
    <x v="24"/>
    <x v="1"/>
    <x v="3"/>
  </r>
  <r>
    <n v="101036"/>
    <x v="362"/>
    <s v="AD-6751-D"/>
    <x v="15"/>
    <x v="1"/>
    <x v="0"/>
    <x v="0"/>
    <n v="5"/>
    <n v="165.79"/>
    <x v="0"/>
    <n v="828.95"/>
    <x v="433"/>
    <x v="5"/>
    <x v="1"/>
    <x v="0"/>
  </r>
  <r>
    <n v="100912"/>
    <x v="239"/>
    <s v="AD-8559-C"/>
    <x v="12"/>
    <x v="0"/>
    <x v="0"/>
    <x v="0"/>
    <n v="2"/>
    <n v="149.72999999999999"/>
    <x v="1"/>
    <n v="239.57"/>
    <x v="434"/>
    <x v="2"/>
    <x v="1"/>
    <x v="5"/>
  </r>
  <r>
    <n v="100755"/>
    <x v="263"/>
    <s v="AD-9779-B"/>
    <x v="13"/>
    <x v="0"/>
    <x v="4"/>
    <x v="3"/>
    <n v="3"/>
    <n v="140.63"/>
    <x v="1"/>
    <n v="337.51"/>
    <x v="435"/>
    <x v="27"/>
    <x v="1"/>
    <x v="1"/>
  </r>
  <r>
    <n v="100944"/>
    <x v="234"/>
    <s v="AD-6385-B"/>
    <x v="16"/>
    <x v="1"/>
    <x v="4"/>
    <x v="1"/>
    <n v="3"/>
    <n v="37.57"/>
    <x v="0"/>
    <n v="112.71"/>
    <x v="436"/>
    <x v="27"/>
    <x v="2"/>
    <x v="5"/>
  </r>
  <r>
    <n v="100613"/>
    <x v="363"/>
    <s v="AD-9579-C"/>
    <x v="6"/>
    <x v="1"/>
    <x v="2"/>
    <x v="0"/>
    <n v="1"/>
    <n v="169.09"/>
    <x v="0"/>
    <n v="169.09"/>
    <x v="437"/>
    <x v="21"/>
    <x v="1"/>
    <x v="5"/>
  </r>
  <r>
    <n v="100801"/>
    <x v="279"/>
    <s v="AD-8083-C"/>
    <x v="12"/>
    <x v="0"/>
    <x v="0"/>
    <x v="1"/>
    <n v="4"/>
    <n v="116.21"/>
    <x v="3"/>
    <n v="441.6"/>
    <x v="438"/>
    <x v="12"/>
    <x v="1"/>
    <x v="5"/>
  </r>
  <r>
    <n v="100757"/>
    <x v="4"/>
    <s v="AD-5945-C"/>
    <x v="2"/>
    <x v="1"/>
    <x v="1"/>
    <x v="0"/>
    <n v="3"/>
    <n v="91.85"/>
    <x v="0"/>
    <n v="275.55"/>
    <x v="439"/>
    <x v="16"/>
    <x v="1"/>
    <x v="1"/>
  </r>
  <r>
    <n v="100688"/>
    <x v="364"/>
    <s v="AD-5060-C"/>
    <x v="16"/>
    <x v="1"/>
    <x v="2"/>
    <x v="0"/>
    <n v="3"/>
    <n v="32.26"/>
    <x v="0"/>
    <n v="96.78"/>
    <x v="440"/>
    <x v="17"/>
    <x v="0"/>
    <x v="6"/>
  </r>
  <r>
    <n v="100065"/>
    <x v="365"/>
    <s v="AD-1672-C"/>
    <x v="5"/>
    <x v="0"/>
    <x v="0"/>
    <x v="2"/>
    <n v="5"/>
    <n v="67.33"/>
    <x v="2"/>
    <n v="302.99"/>
    <x v="441"/>
    <x v="24"/>
    <x v="0"/>
    <x v="1"/>
  </r>
  <r>
    <n v="100793"/>
    <x v="366"/>
    <s v="AD-1668-D"/>
    <x v="7"/>
    <x v="1"/>
    <x v="4"/>
    <x v="1"/>
    <n v="2"/>
    <n v="166.46"/>
    <x v="2"/>
    <n v="299.63"/>
    <x v="442"/>
    <x v="7"/>
    <x v="1"/>
    <x v="5"/>
  </r>
  <r>
    <n v="100743"/>
    <x v="195"/>
    <s v="AD-4781-B"/>
    <x v="10"/>
    <x v="2"/>
    <x v="0"/>
    <x v="0"/>
    <n v="4"/>
    <n v="50.43"/>
    <x v="4"/>
    <n v="121.03"/>
    <x v="443"/>
    <x v="3"/>
    <x v="1"/>
    <x v="5"/>
  </r>
  <r>
    <n v="100567"/>
    <x v="299"/>
    <s v="AD-1225-C"/>
    <x v="15"/>
    <x v="1"/>
    <x v="0"/>
    <x v="0"/>
    <n v="3"/>
    <n v="150.63999999999999"/>
    <x v="1"/>
    <n v="361.54"/>
    <x v="444"/>
    <x v="27"/>
    <x v="0"/>
    <x v="0"/>
  </r>
  <r>
    <n v="101083"/>
    <x v="367"/>
    <s v="AD-2527-C"/>
    <x v="17"/>
    <x v="2"/>
    <x v="0"/>
    <x v="1"/>
    <n v="4"/>
    <n v="38.86"/>
    <x v="0"/>
    <n v="155.44"/>
    <x v="445"/>
    <x v="33"/>
    <x v="1"/>
    <x v="4"/>
  </r>
  <r>
    <n v="101098"/>
    <x v="368"/>
    <s v="AD-7230-A"/>
    <x v="15"/>
    <x v="1"/>
    <x v="3"/>
    <x v="0"/>
    <n v="3"/>
    <n v="146.38999999999999"/>
    <x v="0"/>
    <n v="439.17"/>
    <x v="446"/>
    <x v="10"/>
    <x v="1"/>
    <x v="7"/>
  </r>
  <r>
    <n v="100302"/>
    <x v="369"/>
    <s v="AD-7786-D"/>
    <x v="13"/>
    <x v="0"/>
    <x v="0"/>
    <x v="1"/>
    <n v="2"/>
    <n v="119.21"/>
    <x v="0"/>
    <n v="238.42"/>
    <x v="447"/>
    <x v="18"/>
    <x v="1"/>
    <x v="0"/>
  </r>
  <r>
    <n v="100254"/>
    <x v="16"/>
    <s v="AD-7756-B"/>
    <x v="15"/>
    <x v="1"/>
    <x v="4"/>
    <x v="2"/>
    <n v="5"/>
    <n v="145.34"/>
    <x v="0"/>
    <n v="726.7"/>
    <x v="448"/>
    <x v="8"/>
    <x v="1"/>
    <x v="7"/>
  </r>
  <r>
    <n v="100958"/>
    <x v="370"/>
    <s v="AD-8462-B"/>
    <x v="11"/>
    <x v="0"/>
    <x v="0"/>
    <x v="1"/>
    <n v="4"/>
    <n v="29.68"/>
    <x v="0"/>
    <n v="118.72"/>
    <x v="449"/>
    <x v="10"/>
    <x v="0"/>
    <x v="0"/>
  </r>
  <r>
    <n v="101023"/>
    <x v="329"/>
    <s v="AD-6382-C"/>
    <x v="3"/>
    <x v="2"/>
    <x v="2"/>
    <x v="0"/>
    <n v="4"/>
    <n v="17.71"/>
    <x v="0"/>
    <n v="70.84"/>
    <x v="450"/>
    <x v="5"/>
    <x v="1"/>
    <x v="5"/>
  </r>
  <r>
    <n v="100312"/>
    <x v="269"/>
    <s v="AD-3340-A"/>
    <x v="13"/>
    <x v="0"/>
    <x v="4"/>
    <x v="0"/>
    <n v="6"/>
    <n v="120.23"/>
    <x v="3"/>
    <n v="685.31"/>
    <x v="451"/>
    <x v="27"/>
    <x v="0"/>
    <x v="3"/>
  </r>
  <r>
    <n v="100529"/>
    <x v="371"/>
    <s v="AD-5622-C"/>
    <x v="13"/>
    <x v="0"/>
    <x v="4"/>
    <x v="1"/>
    <n v="2"/>
    <n v="101.14"/>
    <x v="2"/>
    <n v="182.05"/>
    <x v="452"/>
    <x v="22"/>
    <x v="1"/>
    <x v="1"/>
  </r>
  <r>
    <n v="100221"/>
    <x v="199"/>
    <s v="AD-5662-D"/>
    <x v="0"/>
    <x v="0"/>
    <x v="4"/>
    <x v="1"/>
    <n v="7"/>
    <n v="46.97"/>
    <x v="0"/>
    <n v="328.79"/>
    <x v="453"/>
    <x v="4"/>
    <x v="1"/>
    <x v="4"/>
  </r>
  <r>
    <n v="100388"/>
    <x v="291"/>
    <s v="AD-5511-D"/>
    <x v="7"/>
    <x v="1"/>
    <x v="4"/>
    <x v="0"/>
    <n v="2"/>
    <n v="180.08"/>
    <x v="0"/>
    <n v="360.16"/>
    <x v="454"/>
    <x v="2"/>
    <x v="0"/>
    <x v="0"/>
  </r>
  <r>
    <n v="100235"/>
    <x v="372"/>
    <s v="AD-6697-A"/>
    <x v="12"/>
    <x v="0"/>
    <x v="2"/>
    <x v="0"/>
    <n v="4"/>
    <n v="118.57"/>
    <x v="3"/>
    <n v="450.57"/>
    <x v="455"/>
    <x v="9"/>
    <x v="1"/>
    <x v="3"/>
  </r>
  <r>
    <n v="100809"/>
    <x v="70"/>
    <s v="AD-4458-B"/>
    <x v="3"/>
    <x v="2"/>
    <x v="4"/>
    <x v="3"/>
    <n v="1"/>
    <n v="17.52"/>
    <x v="0"/>
    <n v="17.52"/>
    <x v="456"/>
    <x v="23"/>
    <x v="0"/>
    <x v="3"/>
  </r>
  <r>
    <n v="100482"/>
    <x v="373"/>
    <s v="AD-6742-A"/>
    <x v="15"/>
    <x v="1"/>
    <x v="1"/>
    <x v="3"/>
    <n v="3"/>
    <n v="181.45"/>
    <x v="0"/>
    <n v="544.35"/>
    <x v="457"/>
    <x v="11"/>
    <x v="1"/>
    <x v="2"/>
  </r>
  <r>
    <n v="100712"/>
    <x v="374"/>
    <s v="AD-4185-D"/>
    <x v="2"/>
    <x v="1"/>
    <x v="1"/>
    <x v="1"/>
    <n v="1"/>
    <n v="96.24"/>
    <x v="0"/>
    <n v="96.24"/>
    <x v="139"/>
    <x v="22"/>
    <x v="1"/>
    <x v="2"/>
  </r>
  <r>
    <n v="100305"/>
    <x v="375"/>
    <s v="AD-5646-C"/>
    <x v="8"/>
    <x v="2"/>
    <x v="3"/>
    <x v="2"/>
    <n v="3"/>
    <n v="13.86"/>
    <x v="3"/>
    <n v="39.5"/>
    <x v="458"/>
    <x v="2"/>
    <x v="1"/>
    <x v="4"/>
  </r>
  <r>
    <n v="101110"/>
    <x v="50"/>
    <s v="AD-8276-A"/>
    <x v="18"/>
    <x v="1"/>
    <x v="4"/>
    <x v="3"/>
    <n v="1"/>
    <n v="93.52"/>
    <x v="2"/>
    <n v="84.17"/>
    <x v="459"/>
    <x v="21"/>
    <x v="1"/>
    <x v="1"/>
  </r>
  <r>
    <n v="101089"/>
    <x v="172"/>
    <s v="AD-3336-C"/>
    <x v="19"/>
    <x v="1"/>
    <x v="4"/>
    <x v="1"/>
    <n v="1"/>
    <n v="132.69999999999999"/>
    <x v="2"/>
    <n v="119.43"/>
    <x v="460"/>
    <x v="0"/>
    <x v="1"/>
    <x v="7"/>
  </r>
  <r>
    <n v="100771"/>
    <x v="87"/>
    <s v="AD-9763-B"/>
    <x v="12"/>
    <x v="0"/>
    <x v="3"/>
    <x v="0"/>
    <n v="1"/>
    <n v="121.17"/>
    <x v="3"/>
    <n v="115.11"/>
    <x v="461"/>
    <x v="21"/>
    <x v="0"/>
    <x v="1"/>
  </r>
  <r>
    <n v="100916"/>
    <x v="376"/>
    <s v="AD-7247-B"/>
    <x v="15"/>
    <x v="1"/>
    <x v="4"/>
    <x v="3"/>
    <n v="1"/>
    <n v="152.72999999999999"/>
    <x v="0"/>
    <n v="152.72999999999999"/>
    <x v="462"/>
    <x v="15"/>
    <x v="1"/>
    <x v="2"/>
  </r>
  <r>
    <n v="101138"/>
    <x v="377"/>
    <s v="AD-1606-A"/>
    <x v="17"/>
    <x v="2"/>
    <x v="2"/>
    <x v="0"/>
    <n v="1"/>
    <n v="35.72"/>
    <x v="0"/>
    <n v="35.72"/>
    <x v="463"/>
    <x v="3"/>
    <x v="0"/>
    <x v="2"/>
  </r>
  <r>
    <n v="100249"/>
    <x v="378"/>
    <s v="AD-6053-C"/>
    <x v="5"/>
    <x v="0"/>
    <x v="0"/>
    <x v="0"/>
    <n v="2"/>
    <n v="68.290000000000006"/>
    <x v="0"/>
    <n v="136.58000000000001"/>
    <x v="464"/>
    <x v="2"/>
    <x v="1"/>
    <x v="4"/>
  </r>
  <r>
    <n v="100759"/>
    <x v="43"/>
    <s v="AD-1981-B"/>
    <x v="9"/>
    <x v="2"/>
    <x v="3"/>
    <x v="1"/>
    <n v="5"/>
    <n v="22.79"/>
    <x v="1"/>
    <n v="91.16"/>
    <x v="465"/>
    <x v="25"/>
    <x v="1"/>
    <x v="2"/>
  </r>
  <r>
    <n v="100594"/>
    <x v="379"/>
    <s v="AD-9084-B"/>
    <x v="19"/>
    <x v="1"/>
    <x v="4"/>
    <x v="1"/>
    <n v="2"/>
    <n v="119.58"/>
    <x v="0"/>
    <n v="239.16"/>
    <x v="466"/>
    <x v="17"/>
    <x v="1"/>
    <x v="7"/>
  </r>
  <r>
    <n v="100071"/>
    <x v="367"/>
    <s v="AD-8342-A"/>
    <x v="5"/>
    <x v="0"/>
    <x v="1"/>
    <x v="1"/>
    <n v="2"/>
    <n v="80.17"/>
    <x v="0"/>
    <n v="160.34"/>
    <x v="467"/>
    <x v="17"/>
    <x v="0"/>
    <x v="5"/>
  </r>
  <r>
    <n v="100094"/>
    <x v="72"/>
    <s v="AD-2143-C"/>
    <x v="9"/>
    <x v="2"/>
    <x v="4"/>
    <x v="1"/>
    <n v="2"/>
    <n v="20.13"/>
    <x v="0"/>
    <n v="40.26"/>
    <x v="468"/>
    <x v="21"/>
    <x v="1"/>
    <x v="3"/>
  </r>
  <r>
    <n v="100545"/>
    <x v="380"/>
    <s v="AD-7366-D"/>
    <x v="14"/>
    <x v="1"/>
    <x v="4"/>
    <x v="0"/>
    <n v="2"/>
    <n v="222.43"/>
    <x v="1"/>
    <n v="355.89"/>
    <x v="469"/>
    <x v="21"/>
    <x v="1"/>
    <x v="7"/>
  </r>
  <r>
    <n v="100033"/>
    <x v="381"/>
    <s v="AD-4450-C"/>
    <x v="14"/>
    <x v="1"/>
    <x v="2"/>
    <x v="1"/>
    <n v="2"/>
    <n v="204.91"/>
    <x v="4"/>
    <n v="245.89"/>
    <x v="470"/>
    <x v="8"/>
    <x v="1"/>
    <x v="0"/>
  </r>
  <r>
    <n v="100861"/>
    <x v="184"/>
    <s v="AD-5409-A"/>
    <x v="3"/>
    <x v="2"/>
    <x v="4"/>
    <x v="0"/>
    <n v="1"/>
    <n v="16.010000000000002"/>
    <x v="0"/>
    <n v="16.010000000000002"/>
    <x v="471"/>
    <x v="16"/>
    <x v="0"/>
    <x v="7"/>
  </r>
  <r>
    <n v="100578"/>
    <x v="382"/>
    <s v="AD-8046-B"/>
    <x v="8"/>
    <x v="2"/>
    <x v="4"/>
    <x v="0"/>
    <n v="2"/>
    <n v="16.98"/>
    <x v="0"/>
    <n v="33.96"/>
    <x v="472"/>
    <x v="22"/>
    <x v="0"/>
    <x v="3"/>
  </r>
  <r>
    <n v="100448"/>
    <x v="383"/>
    <s v="AD-9426-D"/>
    <x v="18"/>
    <x v="1"/>
    <x v="1"/>
    <x v="0"/>
    <n v="3"/>
    <n v="80.63"/>
    <x v="3"/>
    <n v="229.8"/>
    <x v="473"/>
    <x v="5"/>
    <x v="0"/>
    <x v="4"/>
  </r>
  <r>
    <n v="100445"/>
    <x v="384"/>
    <s v="AD-7814-D"/>
    <x v="13"/>
    <x v="0"/>
    <x v="3"/>
    <x v="1"/>
    <n v="4"/>
    <n v="118.53"/>
    <x v="0"/>
    <n v="474.12"/>
    <x v="474"/>
    <x v="18"/>
    <x v="0"/>
    <x v="3"/>
  </r>
  <r>
    <n v="100259"/>
    <x v="385"/>
    <s v="AD-3807-A"/>
    <x v="15"/>
    <x v="1"/>
    <x v="1"/>
    <x v="1"/>
    <n v="4"/>
    <n v="149.63"/>
    <x v="2"/>
    <n v="538.66999999999996"/>
    <x v="475"/>
    <x v="5"/>
    <x v="1"/>
    <x v="7"/>
  </r>
  <r>
    <n v="100204"/>
    <x v="386"/>
    <s v="AD-9341-D"/>
    <x v="11"/>
    <x v="0"/>
    <x v="1"/>
    <x v="3"/>
    <n v="3"/>
    <n v="29.38"/>
    <x v="0"/>
    <n v="88.14"/>
    <x v="476"/>
    <x v="7"/>
    <x v="0"/>
    <x v="6"/>
  </r>
  <r>
    <n v="100572"/>
    <x v="387"/>
    <s v="AD-4054-B"/>
    <x v="12"/>
    <x v="0"/>
    <x v="0"/>
    <x v="2"/>
    <n v="4"/>
    <n v="123.04"/>
    <x v="0"/>
    <n v="492.16"/>
    <x v="477"/>
    <x v="21"/>
    <x v="1"/>
    <x v="1"/>
  </r>
  <r>
    <n v="100823"/>
    <x v="357"/>
    <s v="AD-3598-B"/>
    <x v="5"/>
    <x v="0"/>
    <x v="4"/>
    <x v="0"/>
    <n v="4"/>
    <n v="75.3"/>
    <x v="1"/>
    <n v="240.96"/>
    <x v="478"/>
    <x v="27"/>
    <x v="0"/>
    <x v="4"/>
  </r>
  <r>
    <n v="100585"/>
    <x v="388"/>
    <s v="AD-7457-A"/>
    <x v="5"/>
    <x v="0"/>
    <x v="0"/>
    <x v="1"/>
    <n v="1"/>
    <n v="75.63"/>
    <x v="3"/>
    <n v="71.849999999999994"/>
    <x v="479"/>
    <x v="24"/>
    <x v="0"/>
    <x v="4"/>
  </r>
  <r>
    <n v="100365"/>
    <x v="389"/>
    <s v="AD-5612-C"/>
    <x v="18"/>
    <x v="1"/>
    <x v="3"/>
    <x v="0"/>
    <n v="5"/>
    <n v="74.78"/>
    <x v="3"/>
    <n v="355.2"/>
    <x v="480"/>
    <x v="4"/>
    <x v="0"/>
    <x v="0"/>
  </r>
  <r>
    <n v="100811"/>
    <x v="216"/>
    <s v="AD-5961-C"/>
    <x v="9"/>
    <x v="2"/>
    <x v="1"/>
    <x v="1"/>
    <n v="4"/>
    <n v="21.29"/>
    <x v="3"/>
    <n v="80.900000000000006"/>
    <x v="481"/>
    <x v="21"/>
    <x v="0"/>
    <x v="5"/>
  </r>
  <r>
    <n v="100077"/>
    <x v="390"/>
    <s v="AD-2869-A"/>
    <x v="0"/>
    <x v="0"/>
    <x v="1"/>
    <x v="0"/>
    <n v="1"/>
    <n v="52.36"/>
    <x v="3"/>
    <n v="49.74"/>
    <x v="482"/>
    <x v="4"/>
    <x v="1"/>
    <x v="5"/>
  </r>
  <r>
    <n v="100084"/>
    <x v="348"/>
    <s v="AD-5982-D"/>
    <x v="0"/>
    <x v="0"/>
    <x v="0"/>
    <x v="3"/>
    <n v="3"/>
    <n v="56.69"/>
    <x v="0"/>
    <n v="170.07"/>
    <x v="483"/>
    <x v="5"/>
    <x v="1"/>
    <x v="5"/>
  </r>
  <r>
    <n v="100538"/>
    <x v="282"/>
    <s v="AD-8992-B"/>
    <x v="15"/>
    <x v="1"/>
    <x v="0"/>
    <x v="1"/>
    <n v="4"/>
    <n v="153.51"/>
    <x v="2"/>
    <n v="552.64"/>
    <x v="484"/>
    <x v="16"/>
    <x v="0"/>
    <x v="3"/>
  </r>
  <r>
    <n v="100082"/>
    <x v="391"/>
    <s v="AD-5334-B"/>
    <x v="5"/>
    <x v="0"/>
    <x v="4"/>
    <x v="2"/>
    <n v="4"/>
    <n v="74.959999999999994"/>
    <x v="3"/>
    <n v="284.85000000000002"/>
    <x v="485"/>
    <x v="17"/>
    <x v="1"/>
    <x v="6"/>
  </r>
  <r>
    <n v="100457"/>
    <x v="240"/>
    <s v="AD-4469-D"/>
    <x v="8"/>
    <x v="2"/>
    <x v="1"/>
    <x v="1"/>
    <n v="4"/>
    <n v="14.83"/>
    <x v="0"/>
    <n v="59.32"/>
    <x v="486"/>
    <x v="18"/>
    <x v="0"/>
    <x v="4"/>
  </r>
  <r>
    <n v="101137"/>
    <x v="392"/>
    <s v="AD-5670-A"/>
    <x v="18"/>
    <x v="1"/>
    <x v="4"/>
    <x v="0"/>
    <n v="5"/>
    <n v="88.63"/>
    <x v="2"/>
    <n v="398.83"/>
    <x v="487"/>
    <x v="23"/>
    <x v="1"/>
    <x v="7"/>
  </r>
  <r>
    <n v="100614"/>
    <x v="132"/>
    <s v="AD-4361-A"/>
    <x v="13"/>
    <x v="0"/>
    <x v="2"/>
    <x v="2"/>
    <n v="2"/>
    <n v="120.76"/>
    <x v="2"/>
    <n v="217.37"/>
    <x v="488"/>
    <x v="16"/>
    <x v="0"/>
    <x v="3"/>
  </r>
  <r>
    <n v="101185"/>
    <x v="393"/>
    <s v="AD-4027-B"/>
    <x v="19"/>
    <x v="1"/>
    <x v="2"/>
    <x v="1"/>
    <n v="3"/>
    <n v="142.61000000000001"/>
    <x v="0"/>
    <n v="427.83"/>
    <x v="489"/>
    <x v="12"/>
    <x v="1"/>
    <x v="7"/>
  </r>
  <r>
    <n v="101075"/>
    <x v="394"/>
    <s v="AD-8274-A"/>
    <x v="14"/>
    <x v="1"/>
    <x v="0"/>
    <x v="0"/>
    <n v="2"/>
    <n v="244.85"/>
    <x v="0"/>
    <n v="489.7"/>
    <x v="490"/>
    <x v="23"/>
    <x v="1"/>
    <x v="4"/>
  </r>
  <r>
    <n v="100736"/>
    <x v="164"/>
    <s v="AD-9123-C"/>
    <x v="5"/>
    <x v="0"/>
    <x v="0"/>
    <x v="0"/>
    <n v="4"/>
    <n v="72.12"/>
    <x v="3"/>
    <n v="274.06"/>
    <x v="491"/>
    <x v="2"/>
    <x v="1"/>
    <x v="3"/>
  </r>
  <r>
    <n v="100436"/>
    <x v="315"/>
    <s v="AD-9747-C"/>
    <x v="18"/>
    <x v="1"/>
    <x v="0"/>
    <x v="1"/>
    <n v="3"/>
    <n v="89.53"/>
    <x v="0"/>
    <n v="268.58999999999997"/>
    <x v="492"/>
    <x v="22"/>
    <x v="0"/>
    <x v="2"/>
  </r>
  <r>
    <n v="100554"/>
    <x v="395"/>
    <s v="AD-4519-C"/>
    <x v="19"/>
    <x v="1"/>
    <x v="4"/>
    <x v="2"/>
    <n v="3"/>
    <n v="111.07"/>
    <x v="2"/>
    <n v="299.89"/>
    <x v="493"/>
    <x v="20"/>
    <x v="1"/>
    <x v="6"/>
  </r>
  <r>
    <n v="101079"/>
    <x v="175"/>
    <s v="AD-8821-C"/>
    <x v="12"/>
    <x v="0"/>
    <x v="0"/>
    <x v="1"/>
    <n v="2"/>
    <n v="134.26"/>
    <x v="1"/>
    <n v="214.82"/>
    <x v="494"/>
    <x v="19"/>
    <x v="0"/>
    <x v="5"/>
  </r>
  <r>
    <n v="101061"/>
    <x v="254"/>
    <s v="AD-2841-D"/>
    <x v="12"/>
    <x v="0"/>
    <x v="0"/>
    <x v="0"/>
    <n v="4"/>
    <n v="113.25"/>
    <x v="2"/>
    <n v="407.7"/>
    <x v="495"/>
    <x v="18"/>
    <x v="0"/>
    <x v="2"/>
  </r>
  <r>
    <n v="100350"/>
    <x v="396"/>
    <s v="AD-7363-C"/>
    <x v="5"/>
    <x v="0"/>
    <x v="0"/>
    <x v="2"/>
    <n v="6"/>
    <n v="75.599999999999994"/>
    <x v="4"/>
    <n v="272.16000000000003"/>
    <x v="496"/>
    <x v="13"/>
    <x v="1"/>
    <x v="6"/>
  </r>
  <r>
    <n v="100196"/>
    <x v="384"/>
    <s v="AD-6121-C"/>
    <x v="15"/>
    <x v="1"/>
    <x v="1"/>
    <x v="1"/>
    <n v="3"/>
    <n v="161.19"/>
    <x v="1"/>
    <n v="386.86"/>
    <x v="497"/>
    <x v="21"/>
    <x v="1"/>
    <x v="3"/>
  </r>
  <r>
    <n v="100464"/>
    <x v="397"/>
    <s v="AD-2235-A"/>
    <x v="1"/>
    <x v="0"/>
    <x v="4"/>
    <x v="1"/>
    <n v="3"/>
    <n v="27.21"/>
    <x v="0"/>
    <n v="81.63"/>
    <x v="282"/>
    <x v="9"/>
    <x v="1"/>
    <x v="1"/>
  </r>
  <r>
    <n v="100588"/>
    <x v="398"/>
    <s v="AD-2481-A"/>
    <x v="0"/>
    <x v="0"/>
    <x v="4"/>
    <x v="1"/>
    <n v="4"/>
    <n v="52.4"/>
    <x v="0"/>
    <n v="209.6"/>
    <x v="498"/>
    <x v="16"/>
    <x v="1"/>
    <x v="5"/>
  </r>
  <r>
    <n v="100005"/>
    <x v="399"/>
    <s v="AD-5554-D"/>
    <x v="5"/>
    <x v="0"/>
    <x v="3"/>
    <x v="2"/>
    <n v="1"/>
    <n v="72.099999999999994"/>
    <x v="0"/>
    <n v="72.099999999999994"/>
    <x v="499"/>
    <x v="17"/>
    <x v="0"/>
    <x v="2"/>
  </r>
  <r>
    <n v="100310"/>
    <x v="400"/>
    <s v="AD-1132-C"/>
    <x v="16"/>
    <x v="1"/>
    <x v="4"/>
    <x v="0"/>
    <n v="5"/>
    <n v="36.36"/>
    <x v="3"/>
    <n v="172.71"/>
    <x v="500"/>
    <x v="9"/>
    <x v="0"/>
    <x v="7"/>
  </r>
  <r>
    <n v="100661"/>
    <x v="401"/>
    <s v="AD-9444-D"/>
    <x v="15"/>
    <x v="1"/>
    <x v="4"/>
    <x v="1"/>
    <n v="3"/>
    <n v="142.51"/>
    <x v="0"/>
    <n v="427.53"/>
    <x v="501"/>
    <x v="4"/>
    <x v="0"/>
    <x v="7"/>
  </r>
  <r>
    <n v="100404"/>
    <x v="402"/>
    <s v="AD-8105-B"/>
    <x v="15"/>
    <x v="1"/>
    <x v="4"/>
    <x v="1"/>
    <n v="2"/>
    <n v="147.32"/>
    <x v="3"/>
    <n v="279.91000000000003"/>
    <x v="502"/>
    <x v="5"/>
    <x v="0"/>
    <x v="4"/>
  </r>
  <r>
    <n v="101195"/>
    <x v="403"/>
    <s v="AD-6261-A"/>
    <x v="2"/>
    <x v="1"/>
    <x v="1"/>
    <x v="1"/>
    <n v="2"/>
    <n v="77.510000000000005"/>
    <x v="3"/>
    <n v="147.27000000000001"/>
    <x v="503"/>
    <x v="27"/>
    <x v="1"/>
    <x v="3"/>
  </r>
  <r>
    <n v="101043"/>
    <x v="404"/>
    <s v="AD-3735-C"/>
    <x v="18"/>
    <x v="1"/>
    <x v="4"/>
    <x v="0"/>
    <n v="2"/>
    <n v="84.94"/>
    <x v="0"/>
    <n v="169.88"/>
    <x v="504"/>
    <x v="15"/>
    <x v="0"/>
    <x v="7"/>
  </r>
  <r>
    <n v="101057"/>
    <x v="405"/>
    <s v="AD-2742-C"/>
    <x v="2"/>
    <x v="1"/>
    <x v="3"/>
    <x v="1"/>
    <n v="3"/>
    <n v="85.71"/>
    <x v="4"/>
    <n v="154.28"/>
    <x v="505"/>
    <x v="11"/>
    <x v="0"/>
    <x v="7"/>
  </r>
  <r>
    <n v="100104"/>
    <x v="406"/>
    <s v="AD-5161-D"/>
    <x v="12"/>
    <x v="0"/>
    <x v="4"/>
    <x v="2"/>
    <n v="1"/>
    <n v="138.34"/>
    <x v="0"/>
    <n v="138.34"/>
    <x v="506"/>
    <x v="28"/>
    <x v="1"/>
    <x v="5"/>
  </r>
  <r>
    <n v="100536"/>
    <x v="89"/>
    <s v="AD-1146-A"/>
    <x v="4"/>
    <x v="2"/>
    <x v="4"/>
    <x v="0"/>
    <n v="2"/>
    <n v="66.5"/>
    <x v="3"/>
    <n v="126.35"/>
    <x v="507"/>
    <x v="19"/>
    <x v="1"/>
    <x v="6"/>
  </r>
  <r>
    <n v="100605"/>
    <x v="407"/>
    <s v="AD-5919-C"/>
    <x v="16"/>
    <x v="1"/>
    <x v="4"/>
    <x v="0"/>
    <n v="1"/>
    <n v="34.1"/>
    <x v="2"/>
    <n v="30.69"/>
    <x v="508"/>
    <x v="34"/>
    <x v="0"/>
    <x v="0"/>
  </r>
  <r>
    <n v="100062"/>
    <x v="78"/>
    <s v="AD-8758-A"/>
    <x v="6"/>
    <x v="1"/>
    <x v="4"/>
    <x v="0"/>
    <n v="3"/>
    <n v="149.9"/>
    <x v="0"/>
    <n v="449.7"/>
    <x v="509"/>
    <x v="8"/>
    <x v="1"/>
    <x v="3"/>
  </r>
  <r>
    <n v="100281"/>
    <x v="408"/>
    <s v="AD-8303-C"/>
    <x v="6"/>
    <x v="1"/>
    <x v="4"/>
    <x v="1"/>
    <n v="4"/>
    <n v="174.63"/>
    <x v="2"/>
    <n v="628.66999999999996"/>
    <x v="510"/>
    <x v="17"/>
    <x v="0"/>
    <x v="6"/>
  </r>
  <r>
    <n v="101055"/>
    <x v="409"/>
    <s v="AD-9630-B"/>
    <x v="14"/>
    <x v="1"/>
    <x v="4"/>
    <x v="2"/>
    <n v="1"/>
    <n v="230.24"/>
    <x v="2"/>
    <n v="207.22"/>
    <x v="511"/>
    <x v="9"/>
    <x v="0"/>
    <x v="1"/>
  </r>
  <r>
    <n v="100238"/>
    <x v="199"/>
    <s v="AD-4943-B"/>
    <x v="18"/>
    <x v="1"/>
    <x v="0"/>
    <x v="1"/>
    <n v="4"/>
    <n v="86.59"/>
    <x v="2"/>
    <n v="311.72000000000003"/>
    <x v="512"/>
    <x v="11"/>
    <x v="0"/>
    <x v="7"/>
  </r>
  <r>
    <n v="100223"/>
    <x v="410"/>
    <s v="AD-5833-B"/>
    <x v="7"/>
    <x v="1"/>
    <x v="0"/>
    <x v="1"/>
    <n v="1"/>
    <n v="167.08"/>
    <x v="0"/>
    <n v="167.08"/>
    <x v="513"/>
    <x v="5"/>
    <x v="1"/>
    <x v="4"/>
  </r>
  <r>
    <n v="100145"/>
    <x v="411"/>
    <s v="AD-6752-B"/>
    <x v="7"/>
    <x v="1"/>
    <x v="0"/>
    <x v="1"/>
    <n v="4"/>
    <n v="155.71"/>
    <x v="2"/>
    <n v="560.55999999999995"/>
    <x v="514"/>
    <x v="2"/>
    <x v="1"/>
    <x v="4"/>
  </r>
  <r>
    <n v="101118"/>
    <x v="412"/>
    <s v="AD-9907-A"/>
    <x v="2"/>
    <x v="1"/>
    <x v="1"/>
    <x v="1"/>
    <n v="5"/>
    <n v="95.27"/>
    <x v="2"/>
    <n v="428.71"/>
    <x v="515"/>
    <x v="3"/>
    <x v="0"/>
    <x v="7"/>
  </r>
  <r>
    <n v="100373"/>
    <x v="413"/>
    <s v="AD-4308-B"/>
    <x v="7"/>
    <x v="1"/>
    <x v="0"/>
    <x v="0"/>
    <n v="1"/>
    <n v="170.96"/>
    <x v="0"/>
    <n v="170.96"/>
    <x v="516"/>
    <x v="2"/>
    <x v="1"/>
    <x v="2"/>
  </r>
  <r>
    <n v="100118"/>
    <x v="107"/>
    <s v="AD-4559-D"/>
    <x v="18"/>
    <x v="1"/>
    <x v="0"/>
    <x v="3"/>
    <n v="7"/>
    <n v="83.62"/>
    <x v="0"/>
    <n v="585.34"/>
    <x v="517"/>
    <x v="34"/>
    <x v="1"/>
    <x v="4"/>
  </r>
  <r>
    <n v="100802"/>
    <x v="414"/>
    <s v="AD-8298-D"/>
    <x v="19"/>
    <x v="1"/>
    <x v="0"/>
    <x v="2"/>
    <n v="1"/>
    <n v="132.72999999999999"/>
    <x v="2"/>
    <n v="119.46"/>
    <x v="518"/>
    <x v="12"/>
    <x v="1"/>
    <x v="5"/>
  </r>
  <r>
    <n v="100250"/>
    <x v="415"/>
    <s v="AD-4328-C"/>
    <x v="10"/>
    <x v="2"/>
    <x v="1"/>
    <x v="2"/>
    <n v="3"/>
    <n v="44.75"/>
    <x v="0"/>
    <n v="134.25"/>
    <x v="519"/>
    <x v="4"/>
    <x v="0"/>
    <x v="4"/>
  </r>
  <r>
    <n v="101156"/>
    <x v="281"/>
    <s v="AD-5395-D"/>
    <x v="5"/>
    <x v="0"/>
    <x v="0"/>
    <x v="0"/>
    <n v="4"/>
    <n v="62.99"/>
    <x v="0"/>
    <n v="251.96"/>
    <x v="520"/>
    <x v="27"/>
    <x v="1"/>
    <x v="6"/>
  </r>
  <r>
    <n v="100009"/>
    <x v="125"/>
    <s v="AD-7543-C"/>
    <x v="3"/>
    <x v="2"/>
    <x v="4"/>
    <x v="1"/>
    <n v="3"/>
    <n v="15.72"/>
    <x v="2"/>
    <n v="42.44"/>
    <x v="521"/>
    <x v="16"/>
    <x v="1"/>
    <x v="2"/>
  </r>
  <r>
    <n v="100449"/>
    <x v="416"/>
    <s v="AD-3742-A"/>
    <x v="15"/>
    <x v="1"/>
    <x v="0"/>
    <x v="0"/>
    <n v="2"/>
    <n v="132.6"/>
    <x v="3"/>
    <n v="251.94"/>
    <x v="522"/>
    <x v="3"/>
    <x v="1"/>
    <x v="1"/>
  </r>
  <r>
    <n v="100873"/>
    <x v="417"/>
    <s v="AD-1602-C"/>
    <x v="19"/>
    <x v="1"/>
    <x v="0"/>
    <x v="0"/>
    <n v="5"/>
    <n v="117.95"/>
    <x v="0"/>
    <n v="589.75"/>
    <x v="523"/>
    <x v="16"/>
    <x v="2"/>
    <x v="4"/>
  </r>
  <r>
    <n v="100389"/>
    <x v="418"/>
    <s v="AD-2676-A"/>
    <x v="12"/>
    <x v="0"/>
    <x v="1"/>
    <x v="0"/>
    <n v="6"/>
    <n v="130.86000000000001"/>
    <x v="0"/>
    <n v="785.16"/>
    <x v="524"/>
    <x v="7"/>
    <x v="1"/>
    <x v="2"/>
  </r>
  <r>
    <n v="100965"/>
    <x v="419"/>
    <s v="AD-8220-A"/>
    <x v="16"/>
    <x v="1"/>
    <x v="4"/>
    <x v="1"/>
    <n v="5"/>
    <n v="34.409999999999997"/>
    <x v="2"/>
    <n v="154.84"/>
    <x v="525"/>
    <x v="16"/>
    <x v="1"/>
    <x v="2"/>
  </r>
  <r>
    <n v="100460"/>
    <x v="420"/>
    <s v="AD-4170-C"/>
    <x v="13"/>
    <x v="0"/>
    <x v="0"/>
    <x v="0"/>
    <n v="3"/>
    <n v="136.37"/>
    <x v="3"/>
    <n v="388.65"/>
    <x v="526"/>
    <x v="8"/>
    <x v="1"/>
    <x v="1"/>
  </r>
  <r>
    <n v="101146"/>
    <x v="97"/>
    <s v="AD-2278-A"/>
    <x v="0"/>
    <x v="0"/>
    <x v="1"/>
    <x v="2"/>
    <n v="5"/>
    <n v="48.25"/>
    <x v="0"/>
    <n v="241.25"/>
    <x v="527"/>
    <x v="25"/>
    <x v="1"/>
    <x v="6"/>
  </r>
  <r>
    <n v="100144"/>
    <x v="421"/>
    <s v="AD-6562-B"/>
    <x v="18"/>
    <x v="1"/>
    <x v="0"/>
    <x v="1"/>
    <n v="3"/>
    <n v="102.41"/>
    <x v="1"/>
    <n v="245.78"/>
    <x v="528"/>
    <x v="21"/>
    <x v="1"/>
    <x v="0"/>
  </r>
  <r>
    <n v="100501"/>
    <x v="422"/>
    <s v="AD-6833-B"/>
    <x v="16"/>
    <x v="1"/>
    <x v="4"/>
    <x v="0"/>
    <n v="2"/>
    <n v="36.380000000000003"/>
    <x v="1"/>
    <n v="58.21"/>
    <x v="529"/>
    <x v="11"/>
    <x v="1"/>
    <x v="6"/>
  </r>
  <r>
    <n v="101107"/>
    <x v="304"/>
    <s v="AD-7783-D"/>
    <x v="0"/>
    <x v="0"/>
    <x v="1"/>
    <x v="2"/>
    <n v="2"/>
    <n v="59.66"/>
    <x v="0"/>
    <n v="119.32"/>
    <x v="530"/>
    <x v="16"/>
    <x v="0"/>
    <x v="5"/>
  </r>
  <r>
    <n v="100539"/>
    <x v="423"/>
    <s v="AD-1349-D"/>
    <x v="8"/>
    <x v="2"/>
    <x v="0"/>
    <x v="2"/>
    <n v="6"/>
    <n v="14.4"/>
    <x v="0"/>
    <n v="86.4"/>
    <x v="531"/>
    <x v="16"/>
    <x v="1"/>
    <x v="6"/>
  </r>
  <r>
    <n v="100177"/>
    <x v="421"/>
    <s v="AD-9151-C"/>
    <x v="12"/>
    <x v="0"/>
    <x v="2"/>
    <x v="0"/>
    <n v="3"/>
    <n v="138.01"/>
    <x v="0"/>
    <n v="414.03"/>
    <x v="532"/>
    <x v="9"/>
    <x v="0"/>
    <x v="5"/>
  </r>
  <r>
    <n v="101158"/>
    <x v="73"/>
    <s v="AD-2137-B"/>
    <x v="19"/>
    <x v="1"/>
    <x v="1"/>
    <x v="2"/>
    <n v="2"/>
    <n v="133.51"/>
    <x v="3"/>
    <n v="253.67"/>
    <x v="533"/>
    <x v="12"/>
    <x v="1"/>
    <x v="4"/>
  </r>
  <r>
    <n v="101050"/>
    <x v="424"/>
    <s v="AD-1170-C"/>
    <x v="8"/>
    <x v="2"/>
    <x v="4"/>
    <x v="2"/>
    <n v="2"/>
    <n v="15.79"/>
    <x v="4"/>
    <n v="18.95"/>
    <x v="534"/>
    <x v="28"/>
    <x v="1"/>
    <x v="7"/>
  </r>
  <r>
    <n v="100583"/>
    <x v="209"/>
    <s v="AD-5421-D"/>
    <x v="12"/>
    <x v="0"/>
    <x v="4"/>
    <x v="0"/>
    <n v="4"/>
    <n v="134.32"/>
    <x v="3"/>
    <n v="510.42"/>
    <x v="535"/>
    <x v="9"/>
    <x v="1"/>
    <x v="7"/>
  </r>
  <r>
    <n v="101194"/>
    <x v="425"/>
    <s v="AD-5103-A"/>
    <x v="7"/>
    <x v="1"/>
    <x v="1"/>
    <x v="3"/>
    <n v="3"/>
    <n v="171.62"/>
    <x v="0"/>
    <n v="514.86"/>
    <x v="536"/>
    <x v="27"/>
    <x v="0"/>
    <x v="7"/>
  </r>
  <r>
    <n v="100007"/>
    <x v="280"/>
    <s v="AD-1916-B"/>
    <x v="3"/>
    <x v="2"/>
    <x v="3"/>
    <x v="1"/>
    <n v="4"/>
    <n v="17.989999999999998"/>
    <x v="3"/>
    <n v="68.36"/>
    <x v="537"/>
    <x v="11"/>
    <x v="0"/>
    <x v="4"/>
  </r>
  <r>
    <n v="100573"/>
    <x v="303"/>
    <s v="AD-6465-D"/>
    <x v="3"/>
    <x v="2"/>
    <x v="0"/>
    <x v="0"/>
    <n v="4"/>
    <n v="19"/>
    <x v="0"/>
    <n v="76"/>
    <x v="538"/>
    <x v="29"/>
    <x v="0"/>
    <x v="0"/>
  </r>
  <r>
    <n v="100842"/>
    <x v="425"/>
    <s v="AD-7974-D"/>
    <x v="13"/>
    <x v="0"/>
    <x v="4"/>
    <x v="1"/>
    <n v="4"/>
    <n v="124.53"/>
    <x v="0"/>
    <n v="498.12"/>
    <x v="539"/>
    <x v="21"/>
    <x v="1"/>
    <x v="3"/>
  </r>
  <r>
    <n v="100357"/>
    <x v="426"/>
    <s v="AD-1029-D"/>
    <x v="17"/>
    <x v="2"/>
    <x v="1"/>
    <x v="1"/>
    <n v="2"/>
    <n v="38.82"/>
    <x v="0"/>
    <n v="77.64"/>
    <x v="540"/>
    <x v="12"/>
    <x v="1"/>
    <x v="3"/>
  </r>
  <r>
    <n v="100329"/>
    <x v="99"/>
    <s v="AD-5625-C"/>
    <x v="5"/>
    <x v="0"/>
    <x v="3"/>
    <x v="3"/>
    <n v="3"/>
    <n v="79.58"/>
    <x v="0"/>
    <n v="238.74"/>
    <x v="541"/>
    <x v="19"/>
    <x v="1"/>
    <x v="5"/>
  </r>
  <r>
    <n v="100704"/>
    <x v="427"/>
    <s v="AD-5720-A"/>
    <x v="14"/>
    <x v="1"/>
    <x v="1"/>
    <x v="1"/>
    <n v="2"/>
    <n v="224.14"/>
    <x v="0"/>
    <n v="448.28"/>
    <x v="542"/>
    <x v="17"/>
    <x v="1"/>
    <x v="4"/>
  </r>
  <r>
    <n v="100829"/>
    <x v="23"/>
    <s v="AD-6592-C"/>
    <x v="16"/>
    <x v="1"/>
    <x v="1"/>
    <x v="1"/>
    <n v="2"/>
    <n v="33.950000000000003"/>
    <x v="3"/>
    <n v="64.5"/>
    <x v="543"/>
    <x v="4"/>
    <x v="1"/>
    <x v="5"/>
  </r>
  <r>
    <n v="100258"/>
    <x v="375"/>
    <s v="AD-5914-A"/>
    <x v="12"/>
    <x v="0"/>
    <x v="3"/>
    <x v="1"/>
    <n v="2"/>
    <n v="141.22"/>
    <x v="2"/>
    <n v="254.2"/>
    <x v="544"/>
    <x v="23"/>
    <x v="1"/>
    <x v="6"/>
  </r>
  <r>
    <n v="100890"/>
    <x v="338"/>
    <s v="AD-1939-B"/>
    <x v="19"/>
    <x v="1"/>
    <x v="1"/>
    <x v="0"/>
    <n v="1"/>
    <n v="136.99"/>
    <x v="3"/>
    <n v="130.13999999999999"/>
    <x v="545"/>
    <x v="4"/>
    <x v="0"/>
    <x v="3"/>
  </r>
  <r>
    <n v="100833"/>
    <x v="428"/>
    <s v="AD-9516-C"/>
    <x v="12"/>
    <x v="0"/>
    <x v="0"/>
    <x v="1"/>
    <n v="2"/>
    <n v="156.76"/>
    <x v="0"/>
    <n v="313.52"/>
    <x v="546"/>
    <x v="4"/>
    <x v="0"/>
    <x v="7"/>
  </r>
  <r>
    <n v="101187"/>
    <x v="52"/>
    <s v="AD-8601-D"/>
    <x v="17"/>
    <x v="2"/>
    <x v="0"/>
    <x v="0"/>
    <n v="3"/>
    <n v="35.479999999999997"/>
    <x v="3"/>
    <n v="101.12"/>
    <x v="547"/>
    <x v="28"/>
    <x v="0"/>
    <x v="1"/>
  </r>
  <r>
    <n v="100904"/>
    <x v="429"/>
    <s v="AD-1599-B"/>
    <x v="11"/>
    <x v="0"/>
    <x v="1"/>
    <x v="3"/>
    <n v="2"/>
    <n v="25.41"/>
    <x v="0"/>
    <n v="50.82"/>
    <x v="548"/>
    <x v="31"/>
    <x v="1"/>
    <x v="2"/>
  </r>
  <r>
    <n v="100525"/>
    <x v="430"/>
    <s v="AD-8052-C"/>
    <x v="8"/>
    <x v="2"/>
    <x v="2"/>
    <x v="3"/>
    <n v="3"/>
    <n v="14"/>
    <x v="2"/>
    <n v="37.799999999999997"/>
    <x v="549"/>
    <x v="16"/>
    <x v="1"/>
    <x v="7"/>
  </r>
  <r>
    <n v="100813"/>
    <x v="255"/>
    <s v="AD-2410-C"/>
    <x v="9"/>
    <x v="2"/>
    <x v="0"/>
    <x v="0"/>
    <n v="5"/>
    <n v="18.829999999999998"/>
    <x v="0"/>
    <n v="94.15"/>
    <x v="550"/>
    <x v="26"/>
    <x v="0"/>
    <x v="6"/>
  </r>
  <r>
    <n v="100731"/>
    <x v="430"/>
    <s v="AD-3028-B"/>
    <x v="18"/>
    <x v="1"/>
    <x v="4"/>
    <x v="0"/>
    <n v="2"/>
    <n v="96.02"/>
    <x v="0"/>
    <n v="192.04"/>
    <x v="551"/>
    <x v="30"/>
    <x v="1"/>
    <x v="1"/>
  </r>
  <r>
    <n v="101031"/>
    <x v="431"/>
    <s v="AD-8961-A"/>
    <x v="13"/>
    <x v="0"/>
    <x v="0"/>
    <x v="0"/>
    <n v="1"/>
    <n v="119"/>
    <x v="3"/>
    <n v="113.05"/>
    <x v="552"/>
    <x v="27"/>
    <x v="1"/>
    <x v="0"/>
  </r>
  <r>
    <n v="101140"/>
    <x v="432"/>
    <s v="AD-9082-A"/>
    <x v="2"/>
    <x v="1"/>
    <x v="1"/>
    <x v="1"/>
    <n v="4"/>
    <n v="89.18"/>
    <x v="0"/>
    <n v="356.72"/>
    <x v="553"/>
    <x v="3"/>
    <x v="1"/>
    <x v="5"/>
  </r>
  <r>
    <n v="100440"/>
    <x v="433"/>
    <s v="AD-1881-A"/>
    <x v="15"/>
    <x v="1"/>
    <x v="1"/>
    <x v="3"/>
    <n v="4"/>
    <n v="147.13999999999999"/>
    <x v="0"/>
    <n v="588.55999999999995"/>
    <x v="554"/>
    <x v="15"/>
    <x v="0"/>
    <x v="4"/>
  </r>
  <r>
    <n v="100531"/>
    <x v="91"/>
    <s v="AD-1918-C"/>
    <x v="9"/>
    <x v="2"/>
    <x v="1"/>
    <x v="1"/>
    <n v="2"/>
    <n v="19.940000000000001"/>
    <x v="0"/>
    <n v="39.880000000000003"/>
    <x v="555"/>
    <x v="25"/>
    <x v="1"/>
    <x v="3"/>
  </r>
  <r>
    <n v="100959"/>
    <x v="177"/>
    <s v="AD-7297-D"/>
    <x v="5"/>
    <x v="0"/>
    <x v="3"/>
    <x v="2"/>
    <n v="2"/>
    <n v="67.56"/>
    <x v="0"/>
    <n v="135.12"/>
    <x v="556"/>
    <x v="5"/>
    <x v="1"/>
    <x v="1"/>
  </r>
  <r>
    <n v="100228"/>
    <x v="434"/>
    <s v="AD-7813-D"/>
    <x v="19"/>
    <x v="1"/>
    <x v="3"/>
    <x v="1"/>
    <n v="3"/>
    <n v="142.54"/>
    <x v="1"/>
    <n v="342.1"/>
    <x v="557"/>
    <x v="10"/>
    <x v="1"/>
    <x v="4"/>
  </r>
  <r>
    <n v="101040"/>
    <x v="131"/>
    <s v="AD-1672-B"/>
    <x v="1"/>
    <x v="0"/>
    <x v="1"/>
    <x v="2"/>
    <n v="5"/>
    <n v="24.87"/>
    <x v="1"/>
    <n v="99.48"/>
    <x v="558"/>
    <x v="21"/>
    <x v="1"/>
    <x v="1"/>
  </r>
  <r>
    <n v="100212"/>
    <x v="435"/>
    <s v="AD-8932-B"/>
    <x v="11"/>
    <x v="0"/>
    <x v="2"/>
    <x v="1"/>
    <n v="2"/>
    <n v="32.31"/>
    <x v="0"/>
    <n v="64.62"/>
    <x v="559"/>
    <x v="21"/>
    <x v="0"/>
    <x v="0"/>
  </r>
  <r>
    <n v="100079"/>
    <x v="436"/>
    <s v="AD-8381-D"/>
    <x v="8"/>
    <x v="2"/>
    <x v="0"/>
    <x v="1"/>
    <n v="4"/>
    <n v="15.64"/>
    <x v="0"/>
    <n v="62.56"/>
    <x v="560"/>
    <x v="33"/>
    <x v="1"/>
    <x v="2"/>
  </r>
  <r>
    <n v="100148"/>
    <x v="437"/>
    <s v="AD-9312-A"/>
    <x v="2"/>
    <x v="1"/>
    <x v="0"/>
    <x v="1"/>
    <n v="4"/>
    <n v="99.25"/>
    <x v="3"/>
    <n v="377.15"/>
    <x v="561"/>
    <x v="8"/>
    <x v="0"/>
    <x v="4"/>
  </r>
  <r>
    <n v="100591"/>
    <x v="438"/>
    <s v="AD-7204-D"/>
    <x v="18"/>
    <x v="1"/>
    <x v="0"/>
    <x v="0"/>
    <n v="4"/>
    <n v="85.74"/>
    <x v="0"/>
    <n v="342.96"/>
    <x v="562"/>
    <x v="19"/>
    <x v="0"/>
    <x v="3"/>
  </r>
  <r>
    <n v="100707"/>
    <x v="439"/>
    <s v="AD-8347-B"/>
    <x v="16"/>
    <x v="1"/>
    <x v="4"/>
    <x v="0"/>
    <n v="1"/>
    <n v="35.89"/>
    <x v="0"/>
    <n v="35.89"/>
    <x v="563"/>
    <x v="31"/>
    <x v="1"/>
    <x v="4"/>
  </r>
  <r>
    <n v="100589"/>
    <x v="67"/>
    <s v="AD-1408-B"/>
    <x v="17"/>
    <x v="2"/>
    <x v="0"/>
    <x v="0"/>
    <n v="2"/>
    <n v="38.049999999999997"/>
    <x v="0"/>
    <n v="76.099999999999994"/>
    <x v="133"/>
    <x v="25"/>
    <x v="1"/>
    <x v="5"/>
  </r>
  <r>
    <n v="100133"/>
    <x v="111"/>
    <s v="AD-4705-D"/>
    <x v="9"/>
    <x v="2"/>
    <x v="4"/>
    <x v="2"/>
    <n v="4"/>
    <n v="25.11"/>
    <x v="1"/>
    <n v="80.349999999999994"/>
    <x v="564"/>
    <x v="16"/>
    <x v="1"/>
    <x v="0"/>
  </r>
  <r>
    <n v="100781"/>
    <x v="440"/>
    <s v="AD-2922-A"/>
    <x v="12"/>
    <x v="0"/>
    <x v="0"/>
    <x v="0"/>
    <n v="3"/>
    <n v="150.93"/>
    <x v="0"/>
    <n v="452.79"/>
    <x v="455"/>
    <x v="9"/>
    <x v="0"/>
    <x v="3"/>
  </r>
  <r>
    <n v="100408"/>
    <x v="441"/>
    <s v="AD-5933-D"/>
    <x v="3"/>
    <x v="2"/>
    <x v="1"/>
    <x v="1"/>
    <n v="2"/>
    <n v="20.28"/>
    <x v="3"/>
    <n v="38.53"/>
    <x v="565"/>
    <x v="27"/>
    <x v="1"/>
    <x v="7"/>
  </r>
  <r>
    <n v="100969"/>
    <x v="442"/>
    <s v="AD-6918-D"/>
    <x v="4"/>
    <x v="2"/>
    <x v="0"/>
    <x v="0"/>
    <n v="2"/>
    <n v="53.89"/>
    <x v="3"/>
    <n v="102.39"/>
    <x v="566"/>
    <x v="29"/>
    <x v="1"/>
    <x v="6"/>
  </r>
  <r>
    <n v="100507"/>
    <x v="443"/>
    <s v="AD-7866-C"/>
    <x v="1"/>
    <x v="0"/>
    <x v="0"/>
    <x v="0"/>
    <n v="3"/>
    <n v="28.06"/>
    <x v="3"/>
    <n v="79.97"/>
    <x v="567"/>
    <x v="2"/>
    <x v="1"/>
    <x v="6"/>
  </r>
  <r>
    <n v="100876"/>
    <x v="351"/>
    <s v="AD-4143-A"/>
    <x v="2"/>
    <x v="1"/>
    <x v="3"/>
    <x v="2"/>
    <n v="2"/>
    <n v="101.82"/>
    <x v="2"/>
    <n v="183.28"/>
    <x v="353"/>
    <x v="19"/>
    <x v="0"/>
    <x v="0"/>
  </r>
  <r>
    <n v="100504"/>
    <x v="215"/>
    <s v="AD-8836-A"/>
    <x v="10"/>
    <x v="2"/>
    <x v="4"/>
    <x v="1"/>
    <n v="4"/>
    <n v="44.86"/>
    <x v="3"/>
    <n v="170.47"/>
    <x v="568"/>
    <x v="2"/>
    <x v="1"/>
    <x v="2"/>
  </r>
  <r>
    <n v="100718"/>
    <x v="444"/>
    <s v="AD-9095-D"/>
    <x v="12"/>
    <x v="0"/>
    <x v="1"/>
    <x v="2"/>
    <n v="4"/>
    <n v="150.96"/>
    <x v="3"/>
    <n v="573.65"/>
    <x v="569"/>
    <x v="27"/>
    <x v="1"/>
    <x v="0"/>
  </r>
  <r>
    <n v="100347"/>
    <x v="445"/>
    <s v="AD-6883-D"/>
    <x v="10"/>
    <x v="2"/>
    <x v="3"/>
    <x v="1"/>
    <n v="4"/>
    <n v="45.84"/>
    <x v="1"/>
    <n v="146.69"/>
    <x v="570"/>
    <x v="3"/>
    <x v="1"/>
    <x v="2"/>
  </r>
  <r>
    <n v="100386"/>
    <x v="446"/>
    <s v="AD-4626-B"/>
    <x v="2"/>
    <x v="1"/>
    <x v="1"/>
    <x v="0"/>
    <n v="2"/>
    <n v="90"/>
    <x v="3"/>
    <n v="171"/>
    <x v="571"/>
    <x v="18"/>
    <x v="0"/>
    <x v="6"/>
  </r>
  <r>
    <n v="100000"/>
    <x v="102"/>
    <s v="AD-7912-A"/>
    <x v="18"/>
    <x v="1"/>
    <x v="4"/>
    <x v="0"/>
    <n v="3"/>
    <n v="88.38"/>
    <x v="2"/>
    <n v="238.63"/>
    <x v="572"/>
    <x v="4"/>
    <x v="0"/>
    <x v="1"/>
  </r>
  <r>
    <n v="100360"/>
    <x v="447"/>
    <s v="AD-1788-D"/>
    <x v="1"/>
    <x v="0"/>
    <x v="0"/>
    <x v="0"/>
    <n v="2"/>
    <n v="21.86"/>
    <x v="1"/>
    <n v="34.979999999999997"/>
    <x v="573"/>
    <x v="30"/>
    <x v="0"/>
    <x v="7"/>
  </r>
  <r>
    <n v="101133"/>
    <x v="448"/>
    <s v="AD-7089-C"/>
    <x v="7"/>
    <x v="1"/>
    <x v="1"/>
    <x v="0"/>
    <n v="4"/>
    <n v="173.06"/>
    <x v="0"/>
    <n v="692.24"/>
    <x v="574"/>
    <x v="28"/>
    <x v="1"/>
    <x v="6"/>
  </r>
  <r>
    <n v="100475"/>
    <x v="449"/>
    <s v="AD-1916-B"/>
    <x v="15"/>
    <x v="1"/>
    <x v="0"/>
    <x v="0"/>
    <n v="2"/>
    <n v="161.02000000000001"/>
    <x v="2"/>
    <n v="289.83999999999997"/>
    <x v="302"/>
    <x v="22"/>
    <x v="1"/>
    <x v="3"/>
  </r>
  <r>
    <n v="100777"/>
    <x v="309"/>
    <s v="AD-7722-C"/>
    <x v="0"/>
    <x v="0"/>
    <x v="4"/>
    <x v="0"/>
    <n v="1"/>
    <n v="60.55"/>
    <x v="3"/>
    <n v="57.52"/>
    <x v="575"/>
    <x v="8"/>
    <x v="1"/>
    <x v="3"/>
  </r>
  <r>
    <n v="100753"/>
    <x v="403"/>
    <s v="AD-8695-A"/>
    <x v="3"/>
    <x v="2"/>
    <x v="1"/>
    <x v="1"/>
    <n v="3"/>
    <n v="15.95"/>
    <x v="0"/>
    <n v="47.85"/>
    <x v="576"/>
    <x v="25"/>
    <x v="1"/>
    <x v="7"/>
  </r>
  <r>
    <n v="100172"/>
    <x v="380"/>
    <s v="AD-4950-A"/>
    <x v="12"/>
    <x v="0"/>
    <x v="4"/>
    <x v="0"/>
    <n v="3"/>
    <n v="138.93"/>
    <x v="0"/>
    <n v="416.79"/>
    <x v="577"/>
    <x v="21"/>
    <x v="0"/>
    <x v="4"/>
  </r>
  <r>
    <n v="100450"/>
    <x v="68"/>
    <s v="AD-4368-D"/>
    <x v="2"/>
    <x v="1"/>
    <x v="0"/>
    <x v="0"/>
    <n v="1"/>
    <n v="89.51"/>
    <x v="1"/>
    <n v="71.61"/>
    <x v="578"/>
    <x v="5"/>
    <x v="0"/>
    <x v="1"/>
  </r>
  <r>
    <n v="100125"/>
    <x v="450"/>
    <s v="AD-8504-A"/>
    <x v="17"/>
    <x v="2"/>
    <x v="1"/>
    <x v="3"/>
    <n v="3"/>
    <n v="42.16"/>
    <x v="2"/>
    <n v="113.83"/>
    <x v="579"/>
    <x v="9"/>
    <x v="1"/>
    <x v="0"/>
  </r>
  <r>
    <n v="100930"/>
    <x v="195"/>
    <s v="AD-8713-C"/>
    <x v="3"/>
    <x v="2"/>
    <x v="1"/>
    <x v="0"/>
    <n v="3"/>
    <n v="19.149999999999999"/>
    <x v="2"/>
    <n v="51.7"/>
    <x v="580"/>
    <x v="23"/>
    <x v="0"/>
    <x v="3"/>
  </r>
  <r>
    <n v="100530"/>
    <x v="451"/>
    <s v="AD-7885-C"/>
    <x v="3"/>
    <x v="2"/>
    <x v="4"/>
    <x v="0"/>
    <n v="3"/>
    <n v="17.489999999999998"/>
    <x v="0"/>
    <n v="52.47"/>
    <x v="581"/>
    <x v="24"/>
    <x v="1"/>
    <x v="4"/>
  </r>
  <r>
    <n v="100090"/>
    <x v="452"/>
    <s v="AD-4073-C"/>
    <x v="10"/>
    <x v="2"/>
    <x v="4"/>
    <x v="2"/>
    <n v="2"/>
    <n v="47.21"/>
    <x v="0"/>
    <n v="94.42"/>
    <x v="582"/>
    <x v="7"/>
    <x v="1"/>
    <x v="7"/>
  </r>
  <r>
    <n v="101161"/>
    <x v="453"/>
    <s v="AD-4740-B"/>
    <x v="5"/>
    <x v="0"/>
    <x v="4"/>
    <x v="0"/>
    <n v="3"/>
    <n v="73.75"/>
    <x v="3"/>
    <n v="210.19"/>
    <x v="583"/>
    <x v="18"/>
    <x v="0"/>
    <x v="0"/>
  </r>
  <r>
    <n v="100181"/>
    <x v="330"/>
    <s v="AD-8179-A"/>
    <x v="12"/>
    <x v="0"/>
    <x v="0"/>
    <x v="1"/>
    <n v="4"/>
    <n v="156.16999999999999"/>
    <x v="3"/>
    <n v="593.45000000000005"/>
    <x v="584"/>
    <x v="8"/>
    <x v="0"/>
    <x v="3"/>
  </r>
  <r>
    <n v="101026"/>
    <x v="454"/>
    <s v="AD-2780-D"/>
    <x v="9"/>
    <x v="2"/>
    <x v="4"/>
    <x v="0"/>
    <n v="4"/>
    <n v="21.68"/>
    <x v="3"/>
    <n v="82.38"/>
    <x v="585"/>
    <x v="3"/>
    <x v="1"/>
    <x v="0"/>
  </r>
  <r>
    <n v="100999"/>
    <x v="455"/>
    <s v="AD-2922-B"/>
    <x v="10"/>
    <x v="2"/>
    <x v="1"/>
    <x v="2"/>
    <n v="1"/>
    <n v="47.77"/>
    <x v="0"/>
    <n v="47.77"/>
    <x v="586"/>
    <x v="17"/>
    <x v="0"/>
    <x v="6"/>
  </r>
  <r>
    <n v="100251"/>
    <x v="456"/>
    <s v="AD-5836-B"/>
    <x v="4"/>
    <x v="2"/>
    <x v="2"/>
    <x v="1"/>
    <n v="2"/>
    <n v="56.19"/>
    <x v="2"/>
    <n v="101.14"/>
    <x v="587"/>
    <x v="8"/>
    <x v="1"/>
    <x v="2"/>
  </r>
  <r>
    <n v="100069"/>
    <x v="449"/>
    <s v="AD-3979-D"/>
    <x v="3"/>
    <x v="2"/>
    <x v="0"/>
    <x v="0"/>
    <n v="2"/>
    <n v="18.66"/>
    <x v="0"/>
    <n v="37.32"/>
    <x v="588"/>
    <x v="17"/>
    <x v="1"/>
    <x v="4"/>
  </r>
  <r>
    <n v="100131"/>
    <x v="457"/>
    <s v="AD-3002-D"/>
    <x v="11"/>
    <x v="0"/>
    <x v="0"/>
    <x v="1"/>
    <n v="4"/>
    <n v="29.45"/>
    <x v="0"/>
    <n v="117.8"/>
    <x v="589"/>
    <x v="15"/>
    <x v="0"/>
    <x v="4"/>
  </r>
  <r>
    <n v="100300"/>
    <x v="116"/>
    <s v="AD-9428-A"/>
    <x v="1"/>
    <x v="0"/>
    <x v="4"/>
    <x v="3"/>
    <n v="3"/>
    <n v="26.27"/>
    <x v="0"/>
    <n v="78.81"/>
    <x v="590"/>
    <x v="8"/>
    <x v="1"/>
    <x v="0"/>
  </r>
  <r>
    <n v="101132"/>
    <x v="458"/>
    <s v="AD-7525-A"/>
    <x v="15"/>
    <x v="1"/>
    <x v="4"/>
    <x v="0"/>
    <n v="2"/>
    <n v="150.02000000000001"/>
    <x v="0"/>
    <n v="300.04000000000002"/>
    <x v="591"/>
    <x v="24"/>
    <x v="0"/>
    <x v="4"/>
  </r>
  <r>
    <n v="100326"/>
    <x v="27"/>
    <s v="AD-1721-A"/>
    <x v="18"/>
    <x v="1"/>
    <x v="0"/>
    <x v="0"/>
    <n v="3"/>
    <n v="91.04"/>
    <x v="0"/>
    <n v="273.12"/>
    <x v="592"/>
    <x v="4"/>
    <x v="0"/>
    <x v="7"/>
  </r>
  <r>
    <n v="101019"/>
    <x v="187"/>
    <s v="AD-8350-B"/>
    <x v="6"/>
    <x v="1"/>
    <x v="0"/>
    <x v="1"/>
    <n v="2"/>
    <n v="166.26"/>
    <x v="0"/>
    <n v="332.52"/>
    <x v="593"/>
    <x v="13"/>
    <x v="1"/>
    <x v="7"/>
  </r>
  <r>
    <n v="100499"/>
    <x v="459"/>
    <s v="AD-7536-C"/>
    <x v="11"/>
    <x v="0"/>
    <x v="4"/>
    <x v="2"/>
    <n v="1"/>
    <n v="31.4"/>
    <x v="0"/>
    <n v="31.4"/>
    <x v="594"/>
    <x v="24"/>
    <x v="1"/>
    <x v="1"/>
  </r>
  <r>
    <n v="100665"/>
    <x v="460"/>
    <s v="AD-6886-D"/>
    <x v="15"/>
    <x v="1"/>
    <x v="0"/>
    <x v="0"/>
    <n v="2"/>
    <n v="151.47999999999999"/>
    <x v="0"/>
    <n v="302.95999999999998"/>
    <x v="595"/>
    <x v="25"/>
    <x v="1"/>
    <x v="1"/>
  </r>
  <r>
    <n v="100918"/>
    <x v="216"/>
    <s v="AD-4058-B"/>
    <x v="18"/>
    <x v="1"/>
    <x v="4"/>
    <x v="2"/>
    <n v="3"/>
    <n v="73.52"/>
    <x v="0"/>
    <n v="220.56"/>
    <x v="596"/>
    <x v="10"/>
    <x v="0"/>
    <x v="7"/>
  </r>
  <r>
    <n v="100495"/>
    <x v="454"/>
    <s v="AD-7670-A"/>
    <x v="19"/>
    <x v="1"/>
    <x v="1"/>
    <x v="0"/>
    <n v="4"/>
    <n v="122.85"/>
    <x v="0"/>
    <n v="491.4"/>
    <x v="597"/>
    <x v="18"/>
    <x v="1"/>
    <x v="3"/>
  </r>
  <r>
    <n v="100338"/>
    <x v="160"/>
    <s v="AD-6051-D"/>
    <x v="3"/>
    <x v="2"/>
    <x v="4"/>
    <x v="0"/>
    <n v="1"/>
    <n v="18.12"/>
    <x v="3"/>
    <n v="17.21"/>
    <x v="598"/>
    <x v="28"/>
    <x v="0"/>
    <x v="5"/>
  </r>
  <r>
    <n v="100963"/>
    <x v="168"/>
    <s v="AD-8060-B"/>
    <x v="9"/>
    <x v="2"/>
    <x v="4"/>
    <x v="1"/>
    <n v="3"/>
    <n v="23.28"/>
    <x v="2"/>
    <n v="62.86"/>
    <x v="599"/>
    <x v="9"/>
    <x v="1"/>
    <x v="0"/>
  </r>
  <r>
    <n v="100164"/>
    <x v="461"/>
    <s v="AD-8391-C"/>
    <x v="7"/>
    <x v="1"/>
    <x v="2"/>
    <x v="0"/>
    <n v="1"/>
    <n v="168.43"/>
    <x v="4"/>
    <n v="101.06"/>
    <x v="600"/>
    <x v="16"/>
    <x v="1"/>
    <x v="6"/>
  </r>
  <r>
    <n v="100028"/>
    <x v="462"/>
    <s v="AD-1651-A"/>
    <x v="2"/>
    <x v="1"/>
    <x v="4"/>
    <x v="0"/>
    <n v="5"/>
    <n v="92.53"/>
    <x v="0"/>
    <n v="462.65"/>
    <x v="601"/>
    <x v="2"/>
    <x v="0"/>
    <x v="6"/>
  </r>
  <r>
    <n v="100516"/>
    <x v="463"/>
    <s v="AD-5444-D"/>
    <x v="13"/>
    <x v="0"/>
    <x v="1"/>
    <x v="0"/>
    <n v="2"/>
    <n v="128.6"/>
    <x v="1"/>
    <n v="205.76"/>
    <x v="602"/>
    <x v="4"/>
    <x v="1"/>
    <x v="2"/>
  </r>
  <r>
    <n v="100193"/>
    <x v="263"/>
    <s v="AD-1674-A"/>
    <x v="7"/>
    <x v="1"/>
    <x v="0"/>
    <x v="0"/>
    <n v="4"/>
    <n v="172.16"/>
    <x v="0"/>
    <n v="688.64"/>
    <x v="603"/>
    <x v="21"/>
    <x v="0"/>
    <x v="4"/>
  </r>
  <r>
    <n v="101103"/>
    <x v="464"/>
    <s v="AD-6304-C"/>
    <x v="6"/>
    <x v="1"/>
    <x v="2"/>
    <x v="0"/>
    <n v="5"/>
    <n v="200.05"/>
    <x v="0"/>
    <n v="1000.25"/>
    <x v="604"/>
    <x v="18"/>
    <x v="0"/>
    <x v="3"/>
  </r>
  <r>
    <n v="100169"/>
    <x v="465"/>
    <s v="AD-9189-A"/>
    <x v="18"/>
    <x v="1"/>
    <x v="1"/>
    <x v="1"/>
    <n v="2"/>
    <n v="79.33"/>
    <x v="2"/>
    <n v="142.79"/>
    <x v="605"/>
    <x v="8"/>
    <x v="1"/>
    <x v="1"/>
  </r>
  <r>
    <n v="101058"/>
    <x v="236"/>
    <s v="AD-6036-C"/>
    <x v="2"/>
    <x v="1"/>
    <x v="1"/>
    <x v="1"/>
    <n v="4"/>
    <n v="88.34"/>
    <x v="1"/>
    <n v="282.69"/>
    <x v="606"/>
    <x v="5"/>
    <x v="1"/>
    <x v="3"/>
  </r>
  <r>
    <n v="100173"/>
    <x v="174"/>
    <s v="AD-8612-D"/>
    <x v="17"/>
    <x v="2"/>
    <x v="1"/>
    <x v="0"/>
    <n v="1"/>
    <n v="41.31"/>
    <x v="0"/>
    <n v="41.31"/>
    <x v="607"/>
    <x v="15"/>
    <x v="1"/>
    <x v="3"/>
  </r>
  <r>
    <n v="100518"/>
    <x v="212"/>
    <s v="AD-2565-A"/>
    <x v="1"/>
    <x v="0"/>
    <x v="0"/>
    <x v="0"/>
    <n v="1"/>
    <n v="24.59"/>
    <x v="0"/>
    <n v="24.59"/>
    <x v="608"/>
    <x v="19"/>
    <x v="1"/>
    <x v="1"/>
  </r>
  <r>
    <n v="100968"/>
    <x v="466"/>
    <s v="AD-8753-C"/>
    <x v="6"/>
    <x v="1"/>
    <x v="1"/>
    <x v="3"/>
    <n v="4"/>
    <n v="172.75"/>
    <x v="3"/>
    <n v="656.45"/>
    <x v="609"/>
    <x v="4"/>
    <x v="1"/>
    <x v="5"/>
  </r>
  <r>
    <n v="100701"/>
    <x v="467"/>
    <s v="AD-7824-B"/>
    <x v="14"/>
    <x v="1"/>
    <x v="2"/>
    <x v="1"/>
    <n v="5"/>
    <n v="246.47"/>
    <x v="3"/>
    <n v="1170.73"/>
    <x v="610"/>
    <x v="3"/>
    <x v="0"/>
    <x v="0"/>
  </r>
  <r>
    <n v="100491"/>
    <x v="468"/>
    <s v="AD-4190-A"/>
    <x v="9"/>
    <x v="2"/>
    <x v="4"/>
    <x v="1"/>
    <n v="5"/>
    <n v="24.56"/>
    <x v="3"/>
    <n v="116.66"/>
    <x v="611"/>
    <x v="12"/>
    <x v="0"/>
    <x v="0"/>
  </r>
  <r>
    <n v="100073"/>
    <x v="201"/>
    <s v="AD-4155-C"/>
    <x v="8"/>
    <x v="2"/>
    <x v="0"/>
    <x v="0"/>
    <n v="1"/>
    <n v="12.83"/>
    <x v="3"/>
    <n v="12.19"/>
    <x v="612"/>
    <x v="34"/>
    <x v="1"/>
    <x v="1"/>
  </r>
  <r>
    <n v="100980"/>
    <x v="377"/>
    <s v="AD-4823-B"/>
    <x v="13"/>
    <x v="0"/>
    <x v="0"/>
    <x v="1"/>
    <n v="3"/>
    <n v="106.58"/>
    <x v="3"/>
    <n v="303.75"/>
    <x v="613"/>
    <x v="12"/>
    <x v="1"/>
    <x v="2"/>
  </r>
  <r>
    <n v="100587"/>
    <x v="469"/>
    <s v="AD-8558-B"/>
    <x v="15"/>
    <x v="1"/>
    <x v="1"/>
    <x v="2"/>
    <n v="2"/>
    <n v="159.36000000000001"/>
    <x v="1"/>
    <n v="254.98"/>
    <x v="614"/>
    <x v="7"/>
    <x v="0"/>
    <x v="0"/>
  </r>
  <r>
    <n v="100234"/>
    <x v="329"/>
    <s v="AD-7887-C"/>
    <x v="2"/>
    <x v="1"/>
    <x v="1"/>
    <x v="0"/>
    <n v="2"/>
    <n v="97.39"/>
    <x v="0"/>
    <n v="194.78"/>
    <x v="615"/>
    <x v="10"/>
    <x v="1"/>
    <x v="3"/>
  </r>
  <r>
    <n v="100214"/>
    <x v="423"/>
    <s v="AD-9899-D"/>
    <x v="9"/>
    <x v="2"/>
    <x v="3"/>
    <x v="1"/>
    <n v="2"/>
    <n v="22.53"/>
    <x v="3"/>
    <n v="42.81"/>
    <x v="616"/>
    <x v="5"/>
    <x v="1"/>
    <x v="1"/>
  </r>
  <r>
    <n v="100946"/>
    <x v="470"/>
    <s v="AD-4644-D"/>
    <x v="13"/>
    <x v="0"/>
    <x v="4"/>
    <x v="0"/>
    <n v="4"/>
    <n v="124.12"/>
    <x v="3"/>
    <n v="471.66"/>
    <x v="617"/>
    <x v="7"/>
    <x v="0"/>
    <x v="6"/>
  </r>
  <r>
    <n v="100132"/>
    <x v="149"/>
    <s v="AD-2697-B"/>
    <x v="4"/>
    <x v="2"/>
    <x v="0"/>
    <x v="3"/>
    <n v="2"/>
    <n v="56.85"/>
    <x v="0"/>
    <n v="113.7"/>
    <x v="618"/>
    <x v="16"/>
    <x v="0"/>
    <x v="4"/>
  </r>
  <r>
    <n v="101155"/>
    <x v="471"/>
    <s v="AD-9718-A"/>
    <x v="18"/>
    <x v="1"/>
    <x v="4"/>
    <x v="0"/>
    <n v="2"/>
    <n v="78.760000000000005"/>
    <x v="1"/>
    <n v="126.02"/>
    <x v="464"/>
    <x v="13"/>
    <x v="1"/>
    <x v="1"/>
  </r>
  <r>
    <n v="100732"/>
    <x v="154"/>
    <s v="AD-6698-C"/>
    <x v="16"/>
    <x v="1"/>
    <x v="1"/>
    <x v="0"/>
    <n v="4"/>
    <n v="32.520000000000003"/>
    <x v="1"/>
    <n v="104.06"/>
    <x v="291"/>
    <x v="15"/>
    <x v="0"/>
    <x v="0"/>
  </r>
  <r>
    <n v="100940"/>
    <x v="472"/>
    <s v="AD-6440-B"/>
    <x v="13"/>
    <x v="0"/>
    <x v="0"/>
    <x v="1"/>
    <n v="2"/>
    <n v="119.44"/>
    <x v="0"/>
    <n v="238.88"/>
    <x v="619"/>
    <x v="1"/>
    <x v="0"/>
    <x v="3"/>
  </r>
  <r>
    <n v="100185"/>
    <x v="473"/>
    <s v="AD-3009-B"/>
    <x v="3"/>
    <x v="2"/>
    <x v="0"/>
    <x v="1"/>
    <n v="3"/>
    <n v="18.809999999999999"/>
    <x v="1"/>
    <n v="45.14"/>
    <x v="620"/>
    <x v="16"/>
    <x v="2"/>
    <x v="6"/>
  </r>
  <r>
    <n v="100041"/>
    <x v="452"/>
    <s v="AD-1452-A"/>
    <x v="2"/>
    <x v="1"/>
    <x v="4"/>
    <x v="1"/>
    <n v="1"/>
    <n v="103.28"/>
    <x v="0"/>
    <n v="103.28"/>
    <x v="621"/>
    <x v="21"/>
    <x v="1"/>
    <x v="4"/>
  </r>
  <r>
    <n v="100108"/>
    <x v="474"/>
    <s v="AD-5689-B"/>
    <x v="17"/>
    <x v="2"/>
    <x v="0"/>
    <x v="3"/>
    <n v="3"/>
    <n v="39.619999999999997"/>
    <x v="0"/>
    <n v="118.86"/>
    <x v="622"/>
    <x v="8"/>
    <x v="0"/>
    <x v="5"/>
  </r>
  <r>
    <n v="100848"/>
    <x v="86"/>
    <s v="AD-5644-B"/>
    <x v="6"/>
    <x v="1"/>
    <x v="4"/>
    <x v="1"/>
    <n v="5"/>
    <n v="199.39"/>
    <x v="0"/>
    <n v="996.95"/>
    <x v="623"/>
    <x v="5"/>
    <x v="1"/>
    <x v="0"/>
  </r>
  <r>
    <n v="100568"/>
    <x v="170"/>
    <s v="AD-4339-C"/>
    <x v="18"/>
    <x v="1"/>
    <x v="1"/>
    <x v="0"/>
    <n v="2"/>
    <n v="89.15"/>
    <x v="3"/>
    <n v="169.38"/>
    <x v="624"/>
    <x v="0"/>
    <x v="0"/>
    <x v="6"/>
  </r>
  <r>
    <n v="100650"/>
    <x v="475"/>
    <s v="AD-7258-C"/>
    <x v="12"/>
    <x v="0"/>
    <x v="4"/>
    <x v="2"/>
    <n v="1"/>
    <n v="138.97999999999999"/>
    <x v="3"/>
    <n v="132.03"/>
    <x v="289"/>
    <x v="16"/>
    <x v="1"/>
    <x v="5"/>
  </r>
  <r>
    <n v="101000"/>
    <x v="364"/>
    <s v="AD-3110-B"/>
    <x v="19"/>
    <x v="1"/>
    <x v="4"/>
    <x v="0"/>
    <n v="3"/>
    <n v="127.38"/>
    <x v="0"/>
    <n v="382.14"/>
    <x v="625"/>
    <x v="7"/>
    <x v="1"/>
    <x v="7"/>
  </r>
  <r>
    <n v="101165"/>
    <x v="218"/>
    <s v="AD-4175-D"/>
    <x v="6"/>
    <x v="1"/>
    <x v="0"/>
    <x v="3"/>
    <n v="3"/>
    <n v="170.5"/>
    <x v="1"/>
    <n v="409.2"/>
    <x v="626"/>
    <x v="2"/>
    <x v="1"/>
    <x v="1"/>
  </r>
  <r>
    <n v="100483"/>
    <x v="201"/>
    <s v="AD-5223-B"/>
    <x v="14"/>
    <x v="1"/>
    <x v="0"/>
    <x v="2"/>
    <n v="4"/>
    <n v="222.32"/>
    <x v="4"/>
    <n v="533.57000000000005"/>
    <x v="627"/>
    <x v="24"/>
    <x v="1"/>
    <x v="2"/>
  </r>
  <r>
    <n v="100468"/>
    <x v="476"/>
    <s v="AD-6878-A"/>
    <x v="7"/>
    <x v="1"/>
    <x v="3"/>
    <x v="1"/>
    <n v="2"/>
    <n v="143.91999999999999"/>
    <x v="1"/>
    <n v="230.27"/>
    <x v="628"/>
    <x v="13"/>
    <x v="0"/>
    <x v="5"/>
  </r>
  <r>
    <n v="100024"/>
    <x v="228"/>
    <s v="AD-7570-A"/>
    <x v="2"/>
    <x v="1"/>
    <x v="2"/>
    <x v="0"/>
    <n v="3"/>
    <n v="88.31"/>
    <x v="0"/>
    <n v="264.93"/>
    <x v="629"/>
    <x v="3"/>
    <x v="1"/>
    <x v="6"/>
  </r>
  <r>
    <n v="100660"/>
    <x v="477"/>
    <s v="AD-3438-A"/>
    <x v="2"/>
    <x v="1"/>
    <x v="0"/>
    <x v="1"/>
    <n v="3"/>
    <n v="94.21"/>
    <x v="2"/>
    <n v="254.37"/>
    <x v="630"/>
    <x v="11"/>
    <x v="1"/>
    <x v="5"/>
  </r>
  <r>
    <n v="100679"/>
    <x v="478"/>
    <s v="AD-9151-B"/>
    <x v="15"/>
    <x v="1"/>
    <x v="0"/>
    <x v="1"/>
    <n v="2"/>
    <n v="155.49"/>
    <x v="1"/>
    <n v="248.78"/>
    <x v="631"/>
    <x v="5"/>
    <x v="0"/>
    <x v="5"/>
  </r>
  <r>
    <n v="100752"/>
    <x v="365"/>
    <s v="AD-9821-C"/>
    <x v="2"/>
    <x v="1"/>
    <x v="4"/>
    <x v="0"/>
    <n v="1"/>
    <n v="91.04"/>
    <x v="0"/>
    <n v="91.04"/>
    <x v="348"/>
    <x v="32"/>
    <x v="1"/>
    <x v="7"/>
  </r>
  <r>
    <n v="100993"/>
    <x v="479"/>
    <s v="AD-2922-C"/>
    <x v="7"/>
    <x v="1"/>
    <x v="4"/>
    <x v="3"/>
    <n v="3"/>
    <n v="155.56"/>
    <x v="0"/>
    <n v="466.68"/>
    <x v="632"/>
    <x v="11"/>
    <x v="1"/>
    <x v="7"/>
  </r>
  <r>
    <n v="100366"/>
    <x v="131"/>
    <s v="AD-1062-D"/>
    <x v="18"/>
    <x v="1"/>
    <x v="0"/>
    <x v="2"/>
    <n v="3"/>
    <n v="80.47"/>
    <x v="2"/>
    <n v="217.27"/>
    <x v="633"/>
    <x v="8"/>
    <x v="1"/>
    <x v="4"/>
  </r>
  <r>
    <n v="100839"/>
    <x v="129"/>
    <s v="AD-3028-A"/>
    <x v="4"/>
    <x v="2"/>
    <x v="4"/>
    <x v="0"/>
    <n v="3"/>
    <n v="62.16"/>
    <x v="0"/>
    <n v="186.48"/>
    <x v="634"/>
    <x v="4"/>
    <x v="1"/>
    <x v="4"/>
  </r>
  <r>
    <n v="101052"/>
    <x v="480"/>
    <s v="AD-3550-D"/>
    <x v="19"/>
    <x v="1"/>
    <x v="0"/>
    <x v="0"/>
    <n v="3"/>
    <n v="129.12"/>
    <x v="0"/>
    <n v="387.36"/>
    <x v="635"/>
    <x v="30"/>
    <x v="1"/>
    <x v="2"/>
  </r>
  <r>
    <n v="100383"/>
    <x v="413"/>
    <s v="AD-6904-B"/>
    <x v="16"/>
    <x v="1"/>
    <x v="4"/>
    <x v="0"/>
    <n v="3"/>
    <n v="37.49"/>
    <x v="0"/>
    <n v="112.47"/>
    <x v="636"/>
    <x v="21"/>
    <x v="1"/>
    <x v="7"/>
  </r>
  <r>
    <n v="100454"/>
    <x v="481"/>
    <s v="AD-7249-D"/>
    <x v="10"/>
    <x v="2"/>
    <x v="0"/>
    <x v="0"/>
    <n v="2"/>
    <n v="46.99"/>
    <x v="2"/>
    <n v="84.58"/>
    <x v="637"/>
    <x v="28"/>
    <x v="1"/>
    <x v="5"/>
  </r>
  <r>
    <n v="100264"/>
    <x v="303"/>
    <s v="AD-6347-A"/>
    <x v="11"/>
    <x v="0"/>
    <x v="1"/>
    <x v="2"/>
    <n v="2"/>
    <n v="28.07"/>
    <x v="2"/>
    <n v="50.53"/>
    <x v="638"/>
    <x v="0"/>
    <x v="1"/>
    <x v="2"/>
  </r>
  <r>
    <n v="100760"/>
    <x v="482"/>
    <s v="AD-7721-C"/>
    <x v="3"/>
    <x v="2"/>
    <x v="4"/>
    <x v="1"/>
    <n v="2"/>
    <n v="19.100000000000001"/>
    <x v="2"/>
    <n v="34.380000000000003"/>
    <x v="639"/>
    <x v="27"/>
    <x v="1"/>
    <x v="2"/>
  </r>
  <r>
    <n v="100979"/>
    <x v="420"/>
    <s v="AD-4666-A"/>
    <x v="18"/>
    <x v="1"/>
    <x v="2"/>
    <x v="1"/>
    <n v="4"/>
    <n v="91.51"/>
    <x v="0"/>
    <n v="366.04"/>
    <x v="640"/>
    <x v="33"/>
    <x v="1"/>
    <x v="4"/>
  </r>
  <r>
    <n v="100444"/>
    <x v="483"/>
    <s v="AD-9037-C"/>
    <x v="14"/>
    <x v="1"/>
    <x v="2"/>
    <x v="1"/>
    <n v="1"/>
    <n v="200.35"/>
    <x v="2"/>
    <n v="180.31"/>
    <x v="641"/>
    <x v="2"/>
    <x v="0"/>
    <x v="0"/>
  </r>
  <r>
    <n v="100395"/>
    <x v="151"/>
    <s v="AD-5237-B"/>
    <x v="7"/>
    <x v="1"/>
    <x v="2"/>
    <x v="0"/>
    <n v="2"/>
    <n v="167.72"/>
    <x v="0"/>
    <n v="335.44"/>
    <x v="642"/>
    <x v="15"/>
    <x v="1"/>
    <x v="3"/>
  </r>
  <r>
    <n v="100741"/>
    <x v="311"/>
    <s v="AD-9177-C"/>
    <x v="16"/>
    <x v="1"/>
    <x v="0"/>
    <x v="3"/>
    <n v="3"/>
    <n v="36.020000000000003"/>
    <x v="3"/>
    <n v="102.66"/>
    <x v="643"/>
    <x v="4"/>
    <x v="1"/>
    <x v="2"/>
  </r>
  <r>
    <n v="100176"/>
    <x v="484"/>
    <s v="AD-3039-C"/>
    <x v="16"/>
    <x v="1"/>
    <x v="2"/>
    <x v="0"/>
    <n v="3"/>
    <n v="33.450000000000003"/>
    <x v="3"/>
    <n v="95.33"/>
    <x v="644"/>
    <x v="20"/>
    <x v="0"/>
    <x v="0"/>
  </r>
  <r>
    <n v="100018"/>
    <x v="485"/>
    <s v="AD-1964-B"/>
    <x v="2"/>
    <x v="1"/>
    <x v="0"/>
    <x v="0"/>
    <n v="1"/>
    <n v="97.25"/>
    <x v="3"/>
    <n v="92.39"/>
    <x v="645"/>
    <x v="16"/>
    <x v="1"/>
    <x v="1"/>
  </r>
  <r>
    <n v="100948"/>
    <x v="486"/>
    <s v="AD-4871-A"/>
    <x v="16"/>
    <x v="1"/>
    <x v="4"/>
    <x v="1"/>
    <n v="4"/>
    <n v="31.44"/>
    <x v="2"/>
    <n v="113.18"/>
    <x v="646"/>
    <x v="4"/>
    <x v="0"/>
    <x v="6"/>
  </r>
  <r>
    <n v="100814"/>
    <x v="405"/>
    <s v="AD-8947-D"/>
    <x v="3"/>
    <x v="2"/>
    <x v="1"/>
    <x v="0"/>
    <n v="3"/>
    <n v="16.649999999999999"/>
    <x v="2"/>
    <n v="44.95"/>
    <x v="647"/>
    <x v="15"/>
    <x v="0"/>
    <x v="5"/>
  </r>
  <r>
    <n v="100595"/>
    <x v="487"/>
    <s v="AD-5009-C"/>
    <x v="17"/>
    <x v="2"/>
    <x v="1"/>
    <x v="0"/>
    <n v="4"/>
    <n v="41.65"/>
    <x v="0"/>
    <n v="166.6"/>
    <x v="648"/>
    <x v="31"/>
    <x v="0"/>
    <x v="7"/>
  </r>
  <r>
    <n v="100061"/>
    <x v="245"/>
    <s v="AD-2124-A"/>
    <x v="2"/>
    <x v="1"/>
    <x v="0"/>
    <x v="0"/>
    <n v="4"/>
    <n v="85.91"/>
    <x v="3"/>
    <n v="326.45999999999998"/>
    <x v="649"/>
    <x v="5"/>
    <x v="0"/>
    <x v="6"/>
  </r>
  <r>
    <n v="100272"/>
    <x v="392"/>
    <s v="AD-4203-D"/>
    <x v="0"/>
    <x v="0"/>
    <x v="4"/>
    <x v="0"/>
    <n v="5"/>
    <n v="53.91"/>
    <x v="3"/>
    <n v="256.07"/>
    <x v="650"/>
    <x v="4"/>
    <x v="1"/>
    <x v="5"/>
  </r>
  <r>
    <n v="101125"/>
    <x v="272"/>
    <s v="AD-9548-C"/>
    <x v="13"/>
    <x v="0"/>
    <x v="1"/>
    <x v="1"/>
    <n v="2"/>
    <n v="130.97999999999999"/>
    <x v="0"/>
    <n v="261.95999999999998"/>
    <x v="651"/>
    <x v="9"/>
    <x v="1"/>
    <x v="3"/>
  </r>
  <r>
    <n v="100278"/>
    <x v="89"/>
    <s v="AD-8357-D"/>
    <x v="0"/>
    <x v="0"/>
    <x v="0"/>
    <x v="1"/>
    <n v="3"/>
    <n v="56.15"/>
    <x v="1"/>
    <n v="134.76"/>
    <x v="652"/>
    <x v="11"/>
    <x v="0"/>
    <x v="1"/>
  </r>
  <r>
    <n v="100841"/>
    <x v="488"/>
    <s v="AD-9514-B"/>
    <x v="0"/>
    <x v="0"/>
    <x v="0"/>
    <x v="1"/>
    <n v="3"/>
    <n v="52.46"/>
    <x v="3"/>
    <n v="149.51"/>
    <x v="653"/>
    <x v="0"/>
    <x v="0"/>
    <x v="2"/>
  </r>
  <r>
    <n v="100368"/>
    <x v="489"/>
    <s v="AD-2493-D"/>
    <x v="2"/>
    <x v="1"/>
    <x v="4"/>
    <x v="1"/>
    <n v="4"/>
    <n v="90.47"/>
    <x v="3"/>
    <n v="343.79"/>
    <x v="654"/>
    <x v="5"/>
    <x v="1"/>
    <x v="0"/>
  </r>
  <r>
    <n v="100886"/>
    <x v="490"/>
    <s v="AD-8439-C"/>
    <x v="4"/>
    <x v="2"/>
    <x v="0"/>
    <x v="0"/>
    <n v="6"/>
    <n v="53.45"/>
    <x v="0"/>
    <n v="320.7"/>
    <x v="655"/>
    <x v="21"/>
    <x v="0"/>
    <x v="7"/>
  </r>
  <r>
    <n v="101014"/>
    <x v="491"/>
    <s v="AD-8678-C"/>
    <x v="5"/>
    <x v="0"/>
    <x v="1"/>
    <x v="1"/>
    <n v="2"/>
    <n v="74.92"/>
    <x v="0"/>
    <n v="149.84"/>
    <x v="656"/>
    <x v="0"/>
    <x v="1"/>
    <x v="4"/>
  </r>
  <r>
    <n v="100859"/>
    <x v="492"/>
    <s v="AD-1849-B"/>
    <x v="12"/>
    <x v="0"/>
    <x v="4"/>
    <x v="2"/>
    <n v="1"/>
    <n v="149.31"/>
    <x v="2"/>
    <n v="134.38"/>
    <x v="657"/>
    <x v="21"/>
    <x v="1"/>
    <x v="1"/>
  </r>
  <r>
    <n v="100720"/>
    <x v="32"/>
    <s v="AD-9078-A"/>
    <x v="7"/>
    <x v="1"/>
    <x v="0"/>
    <x v="0"/>
    <n v="1"/>
    <n v="145.79"/>
    <x v="3"/>
    <n v="138.5"/>
    <x v="658"/>
    <x v="10"/>
    <x v="1"/>
    <x v="0"/>
  </r>
  <r>
    <n v="100825"/>
    <x v="493"/>
    <s v="AD-9444-A"/>
    <x v="13"/>
    <x v="0"/>
    <x v="0"/>
    <x v="1"/>
    <n v="2"/>
    <n v="130.29"/>
    <x v="0"/>
    <n v="260.58"/>
    <x v="659"/>
    <x v="13"/>
    <x v="0"/>
    <x v="3"/>
  </r>
  <r>
    <n v="100547"/>
    <x v="63"/>
    <s v="AD-7814-C"/>
    <x v="9"/>
    <x v="2"/>
    <x v="2"/>
    <x v="1"/>
    <n v="2"/>
    <n v="20.27"/>
    <x v="0"/>
    <n v="40.54"/>
    <x v="660"/>
    <x v="28"/>
    <x v="0"/>
    <x v="4"/>
  </r>
  <r>
    <n v="100879"/>
    <x v="494"/>
    <s v="AD-4696-D"/>
    <x v="4"/>
    <x v="2"/>
    <x v="1"/>
    <x v="0"/>
    <n v="3"/>
    <n v="60.59"/>
    <x v="0"/>
    <n v="181.77"/>
    <x v="661"/>
    <x v="2"/>
    <x v="1"/>
    <x v="7"/>
  </r>
  <r>
    <n v="100899"/>
    <x v="495"/>
    <s v="AD-2071-A"/>
    <x v="3"/>
    <x v="2"/>
    <x v="0"/>
    <x v="1"/>
    <n v="3"/>
    <n v="17.399999999999999"/>
    <x v="1"/>
    <n v="41.76"/>
    <x v="662"/>
    <x v="8"/>
    <x v="0"/>
    <x v="2"/>
  </r>
  <r>
    <n v="100456"/>
    <x v="496"/>
    <s v="AD-1082-D"/>
    <x v="11"/>
    <x v="0"/>
    <x v="4"/>
    <x v="2"/>
    <n v="3"/>
    <n v="31.37"/>
    <x v="0"/>
    <n v="94.11"/>
    <x v="282"/>
    <x v="25"/>
    <x v="1"/>
    <x v="7"/>
  </r>
  <r>
    <n v="100393"/>
    <x v="63"/>
    <s v="AD-4111-C"/>
    <x v="9"/>
    <x v="2"/>
    <x v="4"/>
    <x v="0"/>
    <n v="3"/>
    <n v="22.64"/>
    <x v="0"/>
    <n v="67.92"/>
    <x v="157"/>
    <x v="23"/>
    <x v="1"/>
    <x v="7"/>
  </r>
  <r>
    <n v="100675"/>
    <x v="497"/>
    <s v="AD-7819-D"/>
    <x v="9"/>
    <x v="2"/>
    <x v="4"/>
    <x v="3"/>
    <n v="4"/>
    <n v="22.33"/>
    <x v="2"/>
    <n v="80.39"/>
    <x v="663"/>
    <x v="8"/>
    <x v="0"/>
    <x v="0"/>
  </r>
  <r>
    <n v="100911"/>
    <x v="474"/>
    <s v="AD-8733-B"/>
    <x v="0"/>
    <x v="0"/>
    <x v="1"/>
    <x v="3"/>
    <n v="4"/>
    <n v="55.66"/>
    <x v="3"/>
    <n v="211.51"/>
    <x v="664"/>
    <x v="18"/>
    <x v="0"/>
    <x v="7"/>
  </r>
  <r>
    <n v="100964"/>
    <x v="498"/>
    <s v="AD-8383-B"/>
    <x v="11"/>
    <x v="0"/>
    <x v="4"/>
    <x v="1"/>
    <n v="5"/>
    <n v="28.98"/>
    <x v="1"/>
    <n v="115.92"/>
    <x v="665"/>
    <x v="5"/>
    <x v="1"/>
    <x v="1"/>
  </r>
  <r>
    <n v="100375"/>
    <x v="54"/>
    <s v="AD-2843-D"/>
    <x v="1"/>
    <x v="0"/>
    <x v="2"/>
    <x v="0"/>
    <n v="3"/>
    <n v="24.95"/>
    <x v="0"/>
    <n v="74.849999999999994"/>
    <x v="666"/>
    <x v="7"/>
    <x v="0"/>
    <x v="2"/>
  </r>
  <r>
    <n v="100412"/>
    <x v="499"/>
    <s v="AD-9383-A"/>
    <x v="2"/>
    <x v="1"/>
    <x v="2"/>
    <x v="1"/>
    <n v="5"/>
    <n v="91.74"/>
    <x v="0"/>
    <n v="458.7"/>
    <x v="667"/>
    <x v="3"/>
    <x v="1"/>
    <x v="1"/>
  </r>
  <r>
    <n v="100074"/>
    <x v="6"/>
    <s v="AD-9595-C"/>
    <x v="8"/>
    <x v="2"/>
    <x v="0"/>
    <x v="0"/>
    <n v="2"/>
    <n v="16.14"/>
    <x v="0"/>
    <n v="32.28"/>
    <x v="668"/>
    <x v="22"/>
    <x v="0"/>
    <x v="0"/>
  </r>
  <r>
    <n v="101121"/>
    <x v="178"/>
    <s v="AD-2817-D"/>
    <x v="2"/>
    <x v="1"/>
    <x v="0"/>
    <x v="1"/>
    <n v="5"/>
    <n v="85.87"/>
    <x v="0"/>
    <n v="429.35"/>
    <x v="669"/>
    <x v="8"/>
    <x v="0"/>
    <x v="1"/>
  </r>
  <r>
    <n v="100862"/>
    <x v="109"/>
    <s v="AD-3332-C"/>
    <x v="8"/>
    <x v="2"/>
    <x v="4"/>
    <x v="1"/>
    <n v="6"/>
    <n v="14.99"/>
    <x v="0"/>
    <n v="89.94"/>
    <x v="670"/>
    <x v="30"/>
    <x v="1"/>
    <x v="6"/>
  </r>
  <r>
    <n v="100500"/>
    <x v="500"/>
    <s v="AD-3994-B"/>
    <x v="8"/>
    <x v="2"/>
    <x v="1"/>
    <x v="0"/>
    <n v="2"/>
    <n v="14.45"/>
    <x v="0"/>
    <n v="28.9"/>
    <x v="671"/>
    <x v="7"/>
    <x v="0"/>
    <x v="0"/>
  </r>
  <r>
    <n v="100941"/>
    <x v="289"/>
    <s v="AD-7264-B"/>
    <x v="13"/>
    <x v="0"/>
    <x v="0"/>
    <x v="0"/>
    <n v="2"/>
    <n v="108.15"/>
    <x v="0"/>
    <n v="216.3"/>
    <x v="672"/>
    <x v="3"/>
    <x v="1"/>
    <x v="5"/>
  </r>
  <r>
    <n v="100616"/>
    <x v="458"/>
    <s v="AD-4438-C"/>
    <x v="15"/>
    <x v="1"/>
    <x v="0"/>
    <x v="1"/>
    <n v="6"/>
    <n v="149.62"/>
    <x v="2"/>
    <n v="807.95"/>
    <x v="673"/>
    <x v="25"/>
    <x v="1"/>
    <x v="0"/>
  </r>
  <r>
    <n v="100114"/>
    <x v="159"/>
    <s v="AD-7086-A"/>
    <x v="1"/>
    <x v="0"/>
    <x v="1"/>
    <x v="1"/>
    <n v="4"/>
    <n v="28.02"/>
    <x v="0"/>
    <n v="112.08"/>
    <x v="674"/>
    <x v="31"/>
    <x v="0"/>
    <x v="2"/>
  </r>
  <r>
    <n v="100417"/>
    <x v="501"/>
    <s v="AD-2699-D"/>
    <x v="7"/>
    <x v="1"/>
    <x v="0"/>
    <x v="0"/>
    <n v="2"/>
    <n v="164.55"/>
    <x v="2"/>
    <n v="296.19"/>
    <x v="675"/>
    <x v="2"/>
    <x v="0"/>
    <x v="3"/>
  </r>
  <r>
    <n v="100601"/>
    <x v="331"/>
    <s v="AD-7996-C"/>
    <x v="17"/>
    <x v="2"/>
    <x v="0"/>
    <x v="3"/>
    <n v="3"/>
    <n v="41.44"/>
    <x v="0"/>
    <n v="124.32"/>
    <x v="676"/>
    <x v="17"/>
    <x v="1"/>
    <x v="0"/>
  </r>
  <r>
    <n v="100604"/>
    <x v="502"/>
    <s v="AD-6468-C"/>
    <x v="18"/>
    <x v="1"/>
    <x v="4"/>
    <x v="1"/>
    <n v="4"/>
    <n v="83.05"/>
    <x v="0"/>
    <n v="332.2"/>
    <x v="677"/>
    <x v="27"/>
    <x v="1"/>
    <x v="7"/>
  </r>
  <r>
    <n v="100089"/>
    <x v="503"/>
    <s v="AD-2899-D"/>
    <x v="12"/>
    <x v="0"/>
    <x v="0"/>
    <x v="1"/>
    <n v="1"/>
    <n v="153.49"/>
    <x v="0"/>
    <n v="153.49"/>
    <x v="678"/>
    <x v="27"/>
    <x v="1"/>
    <x v="4"/>
  </r>
  <r>
    <n v="101148"/>
    <x v="504"/>
    <s v="AD-8438-B"/>
    <x v="16"/>
    <x v="1"/>
    <x v="0"/>
    <x v="1"/>
    <n v="3"/>
    <n v="35.85"/>
    <x v="0"/>
    <n v="107.55"/>
    <x v="679"/>
    <x v="20"/>
    <x v="1"/>
    <x v="0"/>
  </r>
  <r>
    <n v="100498"/>
    <x v="505"/>
    <s v="AD-6172-D"/>
    <x v="18"/>
    <x v="1"/>
    <x v="1"/>
    <x v="1"/>
    <n v="4"/>
    <n v="88.15"/>
    <x v="4"/>
    <n v="211.56"/>
    <x v="680"/>
    <x v="19"/>
    <x v="1"/>
    <x v="6"/>
  </r>
  <r>
    <n v="100875"/>
    <x v="140"/>
    <s v="AD-2070-B"/>
    <x v="8"/>
    <x v="2"/>
    <x v="0"/>
    <x v="1"/>
    <n v="1"/>
    <n v="15.3"/>
    <x v="1"/>
    <n v="12.24"/>
    <x v="681"/>
    <x v="25"/>
    <x v="0"/>
    <x v="3"/>
  </r>
  <r>
    <n v="100926"/>
    <x v="506"/>
    <s v="AD-2093-B"/>
    <x v="15"/>
    <x v="1"/>
    <x v="2"/>
    <x v="0"/>
    <n v="3"/>
    <n v="161.79"/>
    <x v="1"/>
    <n v="388.3"/>
    <x v="682"/>
    <x v="32"/>
    <x v="0"/>
    <x v="0"/>
  </r>
  <r>
    <n v="100998"/>
    <x v="507"/>
    <s v="AD-7451-D"/>
    <x v="13"/>
    <x v="0"/>
    <x v="2"/>
    <x v="1"/>
    <n v="2"/>
    <n v="112.59"/>
    <x v="2"/>
    <n v="202.66"/>
    <x v="683"/>
    <x v="7"/>
    <x v="1"/>
    <x v="7"/>
  </r>
  <r>
    <n v="100011"/>
    <x v="121"/>
    <s v="AD-2876-C"/>
    <x v="12"/>
    <x v="0"/>
    <x v="1"/>
    <x v="0"/>
    <n v="3"/>
    <n v="149.94"/>
    <x v="0"/>
    <n v="449.82"/>
    <x v="684"/>
    <x v="7"/>
    <x v="0"/>
    <x v="7"/>
  </r>
  <r>
    <n v="100396"/>
    <x v="424"/>
    <s v="AD-6428-C"/>
    <x v="13"/>
    <x v="0"/>
    <x v="4"/>
    <x v="0"/>
    <n v="1"/>
    <n v="127.11"/>
    <x v="0"/>
    <n v="127.11"/>
    <x v="685"/>
    <x v="26"/>
    <x v="0"/>
    <x v="2"/>
  </r>
  <r>
    <n v="100754"/>
    <x v="423"/>
    <s v="AD-6504-D"/>
    <x v="12"/>
    <x v="0"/>
    <x v="1"/>
    <x v="0"/>
    <n v="6"/>
    <n v="142.44"/>
    <x v="0"/>
    <n v="854.64"/>
    <x v="686"/>
    <x v="19"/>
    <x v="1"/>
    <x v="6"/>
  </r>
  <r>
    <n v="100555"/>
    <x v="508"/>
    <s v="AD-1618-D"/>
    <x v="1"/>
    <x v="0"/>
    <x v="1"/>
    <x v="1"/>
    <n v="1"/>
    <n v="24.52"/>
    <x v="0"/>
    <n v="24.52"/>
    <x v="687"/>
    <x v="3"/>
    <x v="0"/>
    <x v="1"/>
  </r>
  <r>
    <n v="100042"/>
    <x v="509"/>
    <s v="AD-6663-C"/>
    <x v="1"/>
    <x v="0"/>
    <x v="3"/>
    <x v="0"/>
    <n v="1"/>
    <n v="26.1"/>
    <x v="1"/>
    <n v="20.88"/>
    <x v="688"/>
    <x v="3"/>
    <x v="1"/>
    <x v="2"/>
  </r>
  <r>
    <n v="100167"/>
    <x v="510"/>
    <s v="AD-2298-A"/>
    <x v="9"/>
    <x v="2"/>
    <x v="4"/>
    <x v="1"/>
    <n v="4"/>
    <n v="25.25"/>
    <x v="0"/>
    <n v="101"/>
    <x v="689"/>
    <x v="2"/>
    <x v="1"/>
    <x v="7"/>
  </r>
  <r>
    <n v="100416"/>
    <x v="511"/>
    <s v="AD-8835-D"/>
    <x v="13"/>
    <x v="0"/>
    <x v="1"/>
    <x v="3"/>
    <n v="2"/>
    <n v="126.91"/>
    <x v="1"/>
    <n v="203.06"/>
    <x v="690"/>
    <x v="24"/>
    <x v="1"/>
    <x v="2"/>
  </r>
  <r>
    <n v="100576"/>
    <x v="512"/>
    <s v="AD-7837-B"/>
    <x v="12"/>
    <x v="0"/>
    <x v="4"/>
    <x v="0"/>
    <n v="3"/>
    <n v="118.15"/>
    <x v="0"/>
    <n v="354.45"/>
    <x v="691"/>
    <x v="12"/>
    <x v="0"/>
    <x v="6"/>
  </r>
  <r>
    <n v="100267"/>
    <x v="266"/>
    <s v="AD-2499-A"/>
    <x v="12"/>
    <x v="0"/>
    <x v="0"/>
    <x v="1"/>
    <n v="3"/>
    <n v="131.52000000000001"/>
    <x v="0"/>
    <n v="394.56"/>
    <x v="692"/>
    <x v="23"/>
    <x v="1"/>
    <x v="1"/>
  </r>
  <r>
    <n v="100807"/>
    <x v="323"/>
    <s v="AD-9248-A"/>
    <x v="18"/>
    <x v="1"/>
    <x v="0"/>
    <x v="2"/>
    <n v="4"/>
    <n v="84.54"/>
    <x v="3"/>
    <n v="321.25"/>
    <x v="693"/>
    <x v="23"/>
    <x v="1"/>
    <x v="1"/>
  </r>
  <r>
    <n v="100426"/>
    <x v="513"/>
    <s v="AD-6952-D"/>
    <x v="15"/>
    <x v="1"/>
    <x v="2"/>
    <x v="0"/>
    <n v="4"/>
    <n v="155.24"/>
    <x v="0"/>
    <n v="620.96"/>
    <x v="694"/>
    <x v="16"/>
    <x v="0"/>
    <x v="5"/>
  </r>
  <r>
    <n v="100690"/>
    <x v="514"/>
    <s v="AD-8412-D"/>
    <x v="9"/>
    <x v="2"/>
    <x v="1"/>
    <x v="0"/>
    <n v="3"/>
    <n v="19.559999999999999"/>
    <x v="0"/>
    <n v="58.68"/>
    <x v="695"/>
    <x v="9"/>
    <x v="1"/>
    <x v="1"/>
  </r>
  <r>
    <n v="100544"/>
    <x v="515"/>
    <s v="AD-9572-A"/>
    <x v="8"/>
    <x v="2"/>
    <x v="4"/>
    <x v="0"/>
    <n v="3"/>
    <n v="15.82"/>
    <x v="1"/>
    <n v="37.97"/>
    <x v="696"/>
    <x v="12"/>
    <x v="1"/>
    <x v="1"/>
  </r>
  <r>
    <n v="101122"/>
    <x v="516"/>
    <s v="AD-9097-C"/>
    <x v="19"/>
    <x v="1"/>
    <x v="4"/>
    <x v="0"/>
    <n v="2"/>
    <n v="146.54"/>
    <x v="2"/>
    <n v="263.77"/>
    <x v="697"/>
    <x v="8"/>
    <x v="1"/>
    <x v="1"/>
  </r>
  <r>
    <n v="100674"/>
    <x v="517"/>
    <s v="AD-3584-A"/>
    <x v="7"/>
    <x v="1"/>
    <x v="2"/>
    <x v="0"/>
    <n v="3"/>
    <n v="170.01"/>
    <x v="3"/>
    <n v="484.53"/>
    <x v="698"/>
    <x v="2"/>
    <x v="1"/>
    <x v="2"/>
  </r>
  <r>
    <n v="100689"/>
    <x v="518"/>
    <s v="AD-7844-A"/>
    <x v="17"/>
    <x v="2"/>
    <x v="2"/>
    <x v="3"/>
    <n v="1"/>
    <n v="39.29"/>
    <x v="1"/>
    <n v="31.43"/>
    <x v="699"/>
    <x v="21"/>
    <x v="0"/>
    <x v="7"/>
  </r>
  <r>
    <n v="101054"/>
    <x v="519"/>
    <s v="AD-7458-B"/>
    <x v="9"/>
    <x v="2"/>
    <x v="4"/>
    <x v="0"/>
    <n v="3"/>
    <n v="22.27"/>
    <x v="0"/>
    <n v="66.81"/>
    <x v="700"/>
    <x v="31"/>
    <x v="1"/>
    <x v="3"/>
  </r>
  <r>
    <n v="101176"/>
    <x v="234"/>
    <s v="AD-8673-C"/>
    <x v="4"/>
    <x v="2"/>
    <x v="1"/>
    <x v="1"/>
    <n v="3"/>
    <n v="60.35"/>
    <x v="2"/>
    <n v="162.94999999999999"/>
    <x v="701"/>
    <x v="25"/>
    <x v="1"/>
    <x v="4"/>
  </r>
  <r>
    <n v="101032"/>
    <x v="520"/>
    <s v="AD-5317-B"/>
    <x v="4"/>
    <x v="2"/>
    <x v="4"/>
    <x v="1"/>
    <n v="4"/>
    <n v="60.65"/>
    <x v="1"/>
    <n v="194.08"/>
    <x v="702"/>
    <x v="2"/>
    <x v="1"/>
    <x v="1"/>
  </r>
  <r>
    <n v="101034"/>
    <x v="521"/>
    <s v="AD-1289-B"/>
    <x v="18"/>
    <x v="1"/>
    <x v="4"/>
    <x v="3"/>
    <n v="2"/>
    <n v="90.12"/>
    <x v="2"/>
    <n v="162.22"/>
    <x v="703"/>
    <x v="28"/>
    <x v="0"/>
    <x v="2"/>
  </r>
  <r>
    <n v="100257"/>
    <x v="522"/>
    <s v="AD-6807-C"/>
    <x v="7"/>
    <x v="1"/>
    <x v="4"/>
    <x v="0"/>
    <n v="1"/>
    <n v="126.83"/>
    <x v="2"/>
    <n v="114.15"/>
    <x v="704"/>
    <x v="25"/>
    <x v="1"/>
    <x v="0"/>
  </r>
  <r>
    <n v="100335"/>
    <x v="523"/>
    <s v="AD-2226-A"/>
    <x v="11"/>
    <x v="0"/>
    <x v="0"/>
    <x v="1"/>
    <n v="6"/>
    <n v="24.23"/>
    <x v="3"/>
    <n v="138.11000000000001"/>
    <x v="705"/>
    <x v="27"/>
    <x v="1"/>
    <x v="2"/>
  </r>
  <r>
    <n v="100015"/>
    <x v="524"/>
    <s v="AD-9727-B"/>
    <x v="5"/>
    <x v="0"/>
    <x v="3"/>
    <x v="0"/>
    <n v="4"/>
    <n v="68.33"/>
    <x v="0"/>
    <n v="273.32"/>
    <x v="706"/>
    <x v="9"/>
    <x v="1"/>
    <x v="1"/>
  </r>
  <r>
    <n v="100901"/>
    <x v="461"/>
    <s v="AD-1872-C"/>
    <x v="19"/>
    <x v="1"/>
    <x v="2"/>
    <x v="0"/>
    <n v="1"/>
    <n v="116.18"/>
    <x v="0"/>
    <n v="116.18"/>
    <x v="707"/>
    <x v="21"/>
    <x v="1"/>
    <x v="6"/>
  </r>
  <r>
    <n v="100324"/>
    <x v="337"/>
    <s v="AD-5456-A"/>
    <x v="1"/>
    <x v="0"/>
    <x v="4"/>
    <x v="2"/>
    <n v="1"/>
    <n v="24.62"/>
    <x v="0"/>
    <n v="24.62"/>
    <x v="708"/>
    <x v="4"/>
    <x v="1"/>
    <x v="2"/>
  </r>
  <r>
    <n v="100607"/>
    <x v="410"/>
    <s v="AD-8888-B"/>
    <x v="13"/>
    <x v="0"/>
    <x v="1"/>
    <x v="1"/>
    <n v="3"/>
    <n v="129"/>
    <x v="0"/>
    <n v="387"/>
    <x v="709"/>
    <x v="25"/>
    <x v="1"/>
    <x v="3"/>
  </r>
  <r>
    <n v="101053"/>
    <x v="525"/>
    <s v="AD-3885-B"/>
    <x v="4"/>
    <x v="2"/>
    <x v="2"/>
    <x v="0"/>
    <n v="4"/>
    <n v="59.53"/>
    <x v="3"/>
    <n v="226.21"/>
    <x v="710"/>
    <x v="13"/>
    <x v="1"/>
    <x v="3"/>
  </r>
  <r>
    <n v="100790"/>
    <x v="526"/>
    <s v="AD-8046-C"/>
    <x v="13"/>
    <x v="0"/>
    <x v="4"/>
    <x v="2"/>
    <n v="4"/>
    <n v="137.82"/>
    <x v="2"/>
    <n v="496.15"/>
    <x v="711"/>
    <x v="16"/>
    <x v="0"/>
    <x v="4"/>
  </r>
  <r>
    <n v="100222"/>
    <x v="51"/>
    <s v="AD-4159-A"/>
    <x v="8"/>
    <x v="2"/>
    <x v="2"/>
    <x v="0"/>
    <n v="1"/>
    <n v="15.13"/>
    <x v="0"/>
    <n v="15.13"/>
    <x v="712"/>
    <x v="27"/>
    <x v="1"/>
    <x v="0"/>
  </r>
  <r>
    <n v="100179"/>
    <x v="527"/>
    <s v="AD-3730-D"/>
    <x v="18"/>
    <x v="1"/>
    <x v="0"/>
    <x v="0"/>
    <n v="3"/>
    <n v="89.31"/>
    <x v="2"/>
    <n v="241.14"/>
    <x v="713"/>
    <x v="21"/>
    <x v="0"/>
    <x v="2"/>
  </r>
  <r>
    <n v="100099"/>
    <x v="528"/>
    <s v="AD-6546-D"/>
    <x v="14"/>
    <x v="1"/>
    <x v="0"/>
    <x v="0"/>
    <n v="2"/>
    <n v="212.72"/>
    <x v="3"/>
    <n v="404.17"/>
    <x v="714"/>
    <x v="0"/>
    <x v="1"/>
    <x v="0"/>
  </r>
  <r>
    <n v="100521"/>
    <x v="529"/>
    <s v="AD-8801-D"/>
    <x v="10"/>
    <x v="2"/>
    <x v="4"/>
    <x v="1"/>
    <n v="3"/>
    <n v="42.91"/>
    <x v="0"/>
    <n v="128.72999999999999"/>
    <x v="715"/>
    <x v="9"/>
    <x v="0"/>
    <x v="4"/>
  </r>
  <r>
    <n v="100022"/>
    <x v="530"/>
    <s v="AD-7912-B"/>
    <x v="13"/>
    <x v="0"/>
    <x v="4"/>
    <x v="0"/>
    <n v="2"/>
    <n v="118.15"/>
    <x v="0"/>
    <n v="236.3"/>
    <x v="716"/>
    <x v="11"/>
    <x v="1"/>
    <x v="3"/>
  </r>
  <r>
    <n v="100356"/>
    <x v="272"/>
    <s v="AD-3854-C"/>
    <x v="7"/>
    <x v="1"/>
    <x v="1"/>
    <x v="1"/>
    <n v="2"/>
    <n v="166.99"/>
    <x v="0"/>
    <n v="333.98"/>
    <x v="717"/>
    <x v="5"/>
    <x v="1"/>
    <x v="4"/>
  </r>
  <r>
    <n v="100733"/>
    <x v="531"/>
    <s v="AD-9664-B"/>
    <x v="10"/>
    <x v="2"/>
    <x v="0"/>
    <x v="1"/>
    <n v="2"/>
    <n v="44.47"/>
    <x v="0"/>
    <n v="88.94"/>
    <x v="268"/>
    <x v="20"/>
    <x v="1"/>
    <x v="7"/>
  </r>
  <r>
    <n v="101093"/>
    <x v="96"/>
    <s v="AD-5306-A"/>
    <x v="10"/>
    <x v="2"/>
    <x v="3"/>
    <x v="0"/>
    <n v="1"/>
    <n v="47.95"/>
    <x v="0"/>
    <n v="47.95"/>
    <x v="718"/>
    <x v="29"/>
    <x v="0"/>
    <x v="5"/>
  </r>
  <r>
    <n v="101111"/>
    <x v="532"/>
    <s v="AD-4204-D"/>
    <x v="0"/>
    <x v="0"/>
    <x v="4"/>
    <x v="1"/>
    <n v="3"/>
    <n v="50.32"/>
    <x v="0"/>
    <n v="150.96"/>
    <x v="719"/>
    <x v="21"/>
    <x v="0"/>
    <x v="1"/>
  </r>
  <r>
    <n v="100611"/>
    <x v="452"/>
    <s v="AD-4893-C"/>
    <x v="0"/>
    <x v="0"/>
    <x v="1"/>
    <x v="0"/>
    <n v="3"/>
    <n v="60.16"/>
    <x v="0"/>
    <n v="180.48"/>
    <x v="720"/>
    <x v="4"/>
    <x v="1"/>
    <x v="5"/>
  </r>
  <r>
    <n v="101009"/>
    <x v="533"/>
    <s v="AD-5483-A"/>
    <x v="13"/>
    <x v="0"/>
    <x v="1"/>
    <x v="0"/>
    <n v="2"/>
    <n v="99.09"/>
    <x v="0"/>
    <n v="198.18"/>
    <x v="721"/>
    <x v="21"/>
    <x v="1"/>
    <x v="6"/>
  </r>
  <r>
    <n v="100340"/>
    <x v="534"/>
    <s v="AD-5262-B"/>
    <x v="2"/>
    <x v="1"/>
    <x v="3"/>
    <x v="0"/>
    <n v="1"/>
    <n v="96.62"/>
    <x v="0"/>
    <n v="96.62"/>
    <x v="722"/>
    <x v="3"/>
    <x v="1"/>
    <x v="0"/>
  </r>
  <r>
    <n v="100431"/>
    <x v="238"/>
    <s v="AD-9328-B"/>
    <x v="9"/>
    <x v="2"/>
    <x v="0"/>
    <x v="1"/>
    <n v="3"/>
    <n v="20.27"/>
    <x v="2"/>
    <n v="54.73"/>
    <x v="723"/>
    <x v="16"/>
    <x v="1"/>
    <x v="5"/>
  </r>
  <r>
    <n v="100961"/>
    <x v="22"/>
    <s v="AD-2456-A"/>
    <x v="0"/>
    <x v="0"/>
    <x v="1"/>
    <x v="2"/>
    <n v="1"/>
    <n v="54.94"/>
    <x v="0"/>
    <n v="54.94"/>
    <x v="724"/>
    <x v="0"/>
    <x v="0"/>
    <x v="2"/>
  </r>
  <r>
    <n v="100217"/>
    <x v="331"/>
    <s v="AD-4814-A"/>
    <x v="19"/>
    <x v="1"/>
    <x v="4"/>
    <x v="0"/>
    <n v="2"/>
    <n v="130.16"/>
    <x v="0"/>
    <n v="260.32"/>
    <x v="725"/>
    <x v="25"/>
    <x v="0"/>
    <x v="6"/>
  </r>
  <r>
    <n v="100203"/>
    <x v="535"/>
    <s v="AD-3108-A"/>
    <x v="12"/>
    <x v="0"/>
    <x v="0"/>
    <x v="0"/>
    <n v="3"/>
    <n v="143.88"/>
    <x v="0"/>
    <n v="431.64"/>
    <x v="726"/>
    <x v="4"/>
    <x v="2"/>
    <x v="1"/>
  </r>
  <r>
    <n v="100905"/>
    <x v="175"/>
    <s v="AD-3575-C"/>
    <x v="16"/>
    <x v="1"/>
    <x v="4"/>
    <x v="0"/>
    <n v="2"/>
    <n v="33.17"/>
    <x v="3"/>
    <n v="63.02"/>
    <x v="727"/>
    <x v="27"/>
    <x v="1"/>
    <x v="2"/>
  </r>
  <r>
    <n v="100922"/>
    <x v="154"/>
    <s v="AD-8302-A"/>
    <x v="16"/>
    <x v="1"/>
    <x v="0"/>
    <x v="0"/>
    <n v="4"/>
    <n v="38.78"/>
    <x v="0"/>
    <n v="155.12"/>
    <x v="728"/>
    <x v="30"/>
    <x v="1"/>
    <x v="3"/>
  </r>
  <r>
    <n v="100093"/>
    <x v="485"/>
    <s v="AD-9337-C"/>
    <x v="18"/>
    <x v="1"/>
    <x v="4"/>
    <x v="2"/>
    <n v="2"/>
    <n v="68.290000000000006"/>
    <x v="3"/>
    <n v="129.75"/>
    <x v="729"/>
    <x v="5"/>
    <x v="1"/>
    <x v="0"/>
  </r>
  <r>
    <n v="100910"/>
    <x v="536"/>
    <s v="AD-3258-C"/>
    <x v="13"/>
    <x v="0"/>
    <x v="0"/>
    <x v="1"/>
    <n v="4"/>
    <n v="106.89"/>
    <x v="4"/>
    <n v="256.54000000000002"/>
    <x v="730"/>
    <x v="9"/>
    <x v="0"/>
    <x v="6"/>
  </r>
  <r>
    <n v="100068"/>
    <x v="537"/>
    <s v="AD-5569-D"/>
    <x v="4"/>
    <x v="2"/>
    <x v="0"/>
    <x v="0"/>
    <n v="2"/>
    <n v="62.36"/>
    <x v="0"/>
    <n v="124.72"/>
    <x v="731"/>
    <x v="7"/>
    <x v="1"/>
    <x v="1"/>
  </r>
  <r>
    <n v="100894"/>
    <x v="483"/>
    <s v="AD-4363-D"/>
    <x v="19"/>
    <x v="1"/>
    <x v="1"/>
    <x v="1"/>
    <n v="4"/>
    <n v="118.61"/>
    <x v="1"/>
    <n v="379.55"/>
    <x v="732"/>
    <x v="36"/>
    <x v="0"/>
    <x v="2"/>
  </r>
  <r>
    <n v="100284"/>
    <x v="538"/>
    <s v="AD-6225-A"/>
    <x v="16"/>
    <x v="1"/>
    <x v="1"/>
    <x v="0"/>
    <n v="4"/>
    <n v="33.42"/>
    <x v="0"/>
    <n v="133.68"/>
    <x v="733"/>
    <x v="28"/>
    <x v="0"/>
    <x v="5"/>
  </r>
  <r>
    <n v="100696"/>
    <x v="539"/>
    <s v="AD-3267-C"/>
    <x v="15"/>
    <x v="1"/>
    <x v="4"/>
    <x v="1"/>
    <n v="5"/>
    <n v="160.76"/>
    <x v="3"/>
    <n v="763.61"/>
    <x v="734"/>
    <x v="7"/>
    <x v="1"/>
    <x v="6"/>
  </r>
  <r>
    <n v="100085"/>
    <x v="25"/>
    <s v="AD-6280-C"/>
    <x v="1"/>
    <x v="0"/>
    <x v="1"/>
    <x v="0"/>
    <n v="1"/>
    <n v="24.85"/>
    <x v="0"/>
    <n v="24.85"/>
    <x v="735"/>
    <x v="23"/>
    <x v="1"/>
    <x v="2"/>
  </r>
  <r>
    <n v="100434"/>
    <x v="310"/>
    <s v="AD-4560-B"/>
    <x v="4"/>
    <x v="2"/>
    <x v="2"/>
    <x v="1"/>
    <n v="2"/>
    <n v="65.05"/>
    <x v="0"/>
    <n v="130.1"/>
    <x v="736"/>
    <x v="34"/>
    <x v="0"/>
    <x v="4"/>
  </r>
  <r>
    <n v="100796"/>
    <x v="441"/>
    <s v="AD-2998-D"/>
    <x v="2"/>
    <x v="1"/>
    <x v="1"/>
    <x v="0"/>
    <n v="3"/>
    <n v="98.75"/>
    <x v="1"/>
    <n v="237"/>
    <x v="737"/>
    <x v="28"/>
    <x v="1"/>
    <x v="0"/>
  </r>
  <r>
    <n v="100153"/>
    <x v="308"/>
    <s v="AD-2079-C"/>
    <x v="4"/>
    <x v="2"/>
    <x v="0"/>
    <x v="0"/>
    <n v="5"/>
    <n v="50.74"/>
    <x v="0"/>
    <n v="253.7"/>
    <x v="738"/>
    <x v="28"/>
    <x v="0"/>
    <x v="4"/>
  </r>
  <r>
    <n v="100075"/>
    <x v="76"/>
    <s v="AD-5494-A"/>
    <x v="16"/>
    <x v="1"/>
    <x v="1"/>
    <x v="0"/>
    <n v="3"/>
    <n v="40.130000000000003"/>
    <x v="3"/>
    <n v="114.37"/>
    <x v="739"/>
    <x v="7"/>
    <x v="0"/>
    <x v="3"/>
  </r>
  <r>
    <n v="101042"/>
    <x v="380"/>
    <s v="AD-6996-D"/>
    <x v="14"/>
    <x v="1"/>
    <x v="0"/>
    <x v="0"/>
    <n v="1"/>
    <n v="224.81"/>
    <x v="1"/>
    <n v="179.85"/>
    <x v="740"/>
    <x v="20"/>
    <x v="0"/>
    <x v="4"/>
  </r>
  <r>
    <n v="100580"/>
    <x v="350"/>
    <s v="AD-5970-D"/>
    <x v="14"/>
    <x v="1"/>
    <x v="0"/>
    <x v="2"/>
    <n v="2"/>
    <n v="246.33"/>
    <x v="0"/>
    <n v="492.66"/>
    <x v="741"/>
    <x v="25"/>
    <x v="1"/>
    <x v="2"/>
  </r>
  <r>
    <n v="100446"/>
    <x v="540"/>
    <s v="AD-9691-D"/>
    <x v="11"/>
    <x v="0"/>
    <x v="4"/>
    <x v="0"/>
    <n v="2"/>
    <n v="29.29"/>
    <x v="1"/>
    <n v="46.86"/>
    <x v="742"/>
    <x v="22"/>
    <x v="1"/>
    <x v="6"/>
  </r>
  <r>
    <n v="100703"/>
    <x v="85"/>
    <s v="AD-8503-C"/>
    <x v="17"/>
    <x v="2"/>
    <x v="0"/>
    <x v="0"/>
    <n v="4"/>
    <n v="38.35"/>
    <x v="3"/>
    <n v="145.72999999999999"/>
    <x v="743"/>
    <x v="25"/>
    <x v="0"/>
    <x v="5"/>
  </r>
  <r>
    <n v="100188"/>
    <x v="328"/>
    <s v="AD-8657-B"/>
    <x v="16"/>
    <x v="1"/>
    <x v="4"/>
    <x v="1"/>
    <n v="1"/>
    <n v="36.47"/>
    <x v="0"/>
    <n v="36.47"/>
    <x v="744"/>
    <x v="21"/>
    <x v="1"/>
    <x v="4"/>
  </r>
  <r>
    <n v="100271"/>
    <x v="251"/>
    <s v="AD-8121-C"/>
    <x v="12"/>
    <x v="0"/>
    <x v="4"/>
    <x v="0"/>
    <n v="4"/>
    <n v="136.9"/>
    <x v="1"/>
    <n v="438.08"/>
    <x v="745"/>
    <x v="4"/>
    <x v="1"/>
    <x v="3"/>
  </r>
  <r>
    <n v="100236"/>
    <x v="29"/>
    <s v="AD-5888-D"/>
    <x v="8"/>
    <x v="2"/>
    <x v="4"/>
    <x v="3"/>
    <n v="1"/>
    <n v="13.05"/>
    <x v="3"/>
    <n v="12.4"/>
    <x v="746"/>
    <x v="9"/>
    <x v="0"/>
    <x v="7"/>
  </r>
  <r>
    <n v="100487"/>
    <x v="541"/>
    <s v="AD-4764-D"/>
    <x v="11"/>
    <x v="0"/>
    <x v="1"/>
    <x v="0"/>
    <n v="3"/>
    <n v="30.51"/>
    <x v="0"/>
    <n v="91.53"/>
    <x v="747"/>
    <x v="19"/>
    <x v="0"/>
    <x v="1"/>
  </r>
  <r>
    <n v="101159"/>
    <x v="542"/>
    <s v="AD-1341-B"/>
    <x v="13"/>
    <x v="0"/>
    <x v="4"/>
    <x v="0"/>
    <n v="4"/>
    <n v="128.41999999999999"/>
    <x v="0"/>
    <n v="513.67999999999995"/>
    <x v="748"/>
    <x v="19"/>
    <x v="1"/>
    <x v="4"/>
  </r>
  <r>
    <n v="100559"/>
    <x v="480"/>
    <s v="AD-1886-C"/>
    <x v="5"/>
    <x v="0"/>
    <x v="2"/>
    <x v="3"/>
    <n v="1"/>
    <n v="81.650000000000006"/>
    <x v="0"/>
    <n v="81.650000000000006"/>
    <x v="749"/>
    <x v="20"/>
    <x v="0"/>
    <x v="2"/>
  </r>
  <r>
    <n v="100117"/>
    <x v="543"/>
    <s v="AD-3531-D"/>
    <x v="8"/>
    <x v="2"/>
    <x v="1"/>
    <x v="1"/>
    <n v="3"/>
    <n v="16.8"/>
    <x v="2"/>
    <n v="45.36"/>
    <x v="750"/>
    <x v="14"/>
    <x v="0"/>
    <x v="2"/>
  </r>
  <r>
    <n v="100637"/>
    <x v="134"/>
    <s v="AD-3945-D"/>
    <x v="14"/>
    <x v="1"/>
    <x v="1"/>
    <x v="1"/>
    <n v="1"/>
    <n v="205.68"/>
    <x v="0"/>
    <n v="205.68"/>
    <x v="751"/>
    <x v="16"/>
    <x v="0"/>
    <x v="2"/>
  </r>
  <r>
    <n v="101127"/>
    <x v="448"/>
    <s v="AD-5384-C"/>
    <x v="16"/>
    <x v="1"/>
    <x v="4"/>
    <x v="0"/>
    <n v="6"/>
    <n v="40.479999999999997"/>
    <x v="2"/>
    <n v="218.59"/>
    <x v="752"/>
    <x v="17"/>
    <x v="0"/>
    <x v="3"/>
  </r>
  <r>
    <n v="100750"/>
    <x v="527"/>
    <s v="AD-6591-D"/>
    <x v="15"/>
    <x v="1"/>
    <x v="4"/>
    <x v="2"/>
    <n v="1"/>
    <n v="168.9"/>
    <x v="2"/>
    <n v="152.01"/>
    <x v="605"/>
    <x v="23"/>
    <x v="1"/>
    <x v="7"/>
  </r>
  <r>
    <n v="100512"/>
    <x v="350"/>
    <s v="AD-6638-A"/>
    <x v="18"/>
    <x v="1"/>
    <x v="1"/>
    <x v="0"/>
    <n v="1"/>
    <n v="82.72"/>
    <x v="3"/>
    <n v="78.58"/>
    <x v="753"/>
    <x v="2"/>
    <x v="0"/>
    <x v="0"/>
  </r>
  <r>
    <n v="100633"/>
    <x v="223"/>
    <s v="AD-2797-C"/>
    <x v="11"/>
    <x v="0"/>
    <x v="3"/>
    <x v="0"/>
    <n v="2"/>
    <n v="30.33"/>
    <x v="0"/>
    <n v="60.66"/>
    <x v="754"/>
    <x v="5"/>
    <x v="0"/>
    <x v="4"/>
  </r>
  <r>
    <n v="100785"/>
    <x v="58"/>
    <s v="AD-4476-D"/>
    <x v="3"/>
    <x v="2"/>
    <x v="1"/>
    <x v="2"/>
    <n v="4"/>
    <n v="18.260000000000002"/>
    <x v="2"/>
    <n v="65.739999999999995"/>
    <x v="755"/>
    <x v="2"/>
    <x v="0"/>
    <x v="2"/>
  </r>
  <r>
    <n v="101006"/>
    <x v="432"/>
    <s v="AD-2156-C"/>
    <x v="3"/>
    <x v="2"/>
    <x v="4"/>
    <x v="0"/>
    <n v="5"/>
    <n v="18.62"/>
    <x v="2"/>
    <n v="83.79"/>
    <x v="756"/>
    <x v="9"/>
    <x v="0"/>
    <x v="6"/>
  </r>
  <r>
    <n v="100852"/>
    <x v="74"/>
    <s v="AD-2450-B"/>
    <x v="12"/>
    <x v="0"/>
    <x v="4"/>
    <x v="1"/>
    <n v="2"/>
    <n v="144.15"/>
    <x v="3"/>
    <n v="273.88"/>
    <x v="757"/>
    <x v="8"/>
    <x v="1"/>
    <x v="0"/>
  </r>
  <r>
    <n v="100126"/>
    <x v="428"/>
    <s v="AD-2204-A"/>
    <x v="9"/>
    <x v="2"/>
    <x v="1"/>
    <x v="0"/>
    <n v="4"/>
    <n v="20.75"/>
    <x v="0"/>
    <n v="83"/>
    <x v="281"/>
    <x v="11"/>
    <x v="0"/>
    <x v="5"/>
  </r>
  <r>
    <n v="100116"/>
    <x v="544"/>
    <s v="AD-2902-A"/>
    <x v="0"/>
    <x v="0"/>
    <x v="4"/>
    <x v="0"/>
    <n v="3"/>
    <n v="61.1"/>
    <x v="0"/>
    <n v="183.3"/>
    <x v="758"/>
    <x v="16"/>
    <x v="1"/>
    <x v="5"/>
  </r>
  <r>
    <n v="100473"/>
    <x v="366"/>
    <s v="AD-4773-D"/>
    <x v="2"/>
    <x v="1"/>
    <x v="4"/>
    <x v="0"/>
    <n v="6"/>
    <n v="101.44"/>
    <x v="0"/>
    <n v="608.64"/>
    <x v="759"/>
    <x v="2"/>
    <x v="1"/>
    <x v="1"/>
  </r>
  <r>
    <n v="100740"/>
    <x v="545"/>
    <s v="AD-2060-C"/>
    <x v="12"/>
    <x v="0"/>
    <x v="3"/>
    <x v="1"/>
    <n v="1"/>
    <n v="121.08"/>
    <x v="0"/>
    <n v="121.08"/>
    <x v="760"/>
    <x v="9"/>
    <x v="0"/>
    <x v="3"/>
  </r>
  <r>
    <n v="100992"/>
    <x v="546"/>
    <s v="AD-7169-D"/>
    <x v="6"/>
    <x v="1"/>
    <x v="2"/>
    <x v="0"/>
    <n v="2"/>
    <n v="184.09"/>
    <x v="3"/>
    <n v="349.77"/>
    <x v="761"/>
    <x v="26"/>
    <x v="0"/>
    <x v="3"/>
  </r>
  <r>
    <n v="100057"/>
    <x v="547"/>
    <s v="AD-8999-B"/>
    <x v="11"/>
    <x v="0"/>
    <x v="1"/>
    <x v="2"/>
    <n v="4"/>
    <n v="31.46"/>
    <x v="3"/>
    <n v="119.55"/>
    <x v="762"/>
    <x v="27"/>
    <x v="0"/>
    <x v="6"/>
  </r>
  <r>
    <n v="100603"/>
    <x v="210"/>
    <s v="AD-1392-D"/>
    <x v="7"/>
    <x v="1"/>
    <x v="4"/>
    <x v="0"/>
    <n v="3"/>
    <n v="169.7"/>
    <x v="0"/>
    <n v="509.1"/>
    <x v="763"/>
    <x v="4"/>
    <x v="1"/>
    <x v="1"/>
  </r>
  <r>
    <n v="100786"/>
    <x v="548"/>
    <s v="AD-4847-D"/>
    <x v="4"/>
    <x v="2"/>
    <x v="4"/>
    <x v="0"/>
    <n v="2"/>
    <n v="56.76"/>
    <x v="0"/>
    <n v="113.52"/>
    <x v="764"/>
    <x v="25"/>
    <x v="1"/>
    <x v="4"/>
  </r>
  <r>
    <n v="100970"/>
    <x v="549"/>
    <s v="AD-7583-B"/>
    <x v="19"/>
    <x v="1"/>
    <x v="1"/>
    <x v="0"/>
    <n v="2"/>
    <n v="116.46"/>
    <x v="2"/>
    <n v="209.63"/>
    <x v="765"/>
    <x v="21"/>
    <x v="1"/>
    <x v="5"/>
  </r>
  <r>
    <n v="100656"/>
    <x v="293"/>
    <s v="AD-5528-D"/>
    <x v="18"/>
    <x v="1"/>
    <x v="4"/>
    <x v="1"/>
    <n v="5"/>
    <n v="80.94"/>
    <x v="0"/>
    <n v="404.7"/>
    <x v="766"/>
    <x v="25"/>
    <x v="0"/>
    <x v="5"/>
  </r>
  <r>
    <n v="100902"/>
    <x v="550"/>
    <s v="AD-8711-A"/>
    <x v="14"/>
    <x v="1"/>
    <x v="3"/>
    <x v="2"/>
    <n v="3"/>
    <n v="221.49"/>
    <x v="0"/>
    <n v="664.47"/>
    <x v="767"/>
    <x v="18"/>
    <x v="1"/>
    <x v="1"/>
  </r>
  <r>
    <n v="100921"/>
    <x v="551"/>
    <s v="AD-3601-C"/>
    <x v="16"/>
    <x v="1"/>
    <x v="4"/>
    <x v="0"/>
    <n v="3"/>
    <n v="29.79"/>
    <x v="2"/>
    <n v="80.430000000000007"/>
    <x v="768"/>
    <x v="18"/>
    <x v="0"/>
    <x v="5"/>
  </r>
  <r>
    <n v="100105"/>
    <x v="27"/>
    <s v="AD-8237-C"/>
    <x v="6"/>
    <x v="1"/>
    <x v="1"/>
    <x v="0"/>
    <n v="3"/>
    <n v="171.69"/>
    <x v="0"/>
    <n v="515.07000000000005"/>
    <x v="769"/>
    <x v="6"/>
    <x v="1"/>
    <x v="1"/>
  </r>
  <r>
    <n v="100635"/>
    <x v="306"/>
    <s v="AD-7835-B"/>
    <x v="8"/>
    <x v="2"/>
    <x v="4"/>
    <x v="0"/>
    <n v="1"/>
    <n v="15.38"/>
    <x v="1"/>
    <n v="12.3"/>
    <x v="770"/>
    <x v="18"/>
    <x v="0"/>
    <x v="4"/>
  </r>
  <r>
    <n v="100369"/>
    <x v="552"/>
    <s v="AD-5315-B"/>
    <x v="11"/>
    <x v="0"/>
    <x v="1"/>
    <x v="0"/>
    <n v="5"/>
    <n v="30.69"/>
    <x v="0"/>
    <n v="153.44999999999999"/>
    <x v="771"/>
    <x v="27"/>
    <x v="1"/>
    <x v="5"/>
  </r>
  <r>
    <n v="100268"/>
    <x v="25"/>
    <s v="AD-8353-D"/>
    <x v="0"/>
    <x v="0"/>
    <x v="0"/>
    <x v="0"/>
    <n v="2"/>
    <n v="57.82"/>
    <x v="3"/>
    <n v="109.86"/>
    <x v="772"/>
    <x v="24"/>
    <x v="1"/>
    <x v="2"/>
  </r>
  <r>
    <n v="100655"/>
    <x v="185"/>
    <s v="AD-7159-B"/>
    <x v="19"/>
    <x v="1"/>
    <x v="0"/>
    <x v="0"/>
    <n v="6"/>
    <n v="116.35"/>
    <x v="0"/>
    <n v="698.1"/>
    <x v="773"/>
    <x v="16"/>
    <x v="0"/>
    <x v="3"/>
  </r>
  <r>
    <n v="100046"/>
    <x v="467"/>
    <s v="AD-5930-D"/>
    <x v="0"/>
    <x v="0"/>
    <x v="4"/>
    <x v="1"/>
    <n v="4"/>
    <n v="62.77"/>
    <x v="0"/>
    <n v="251.08"/>
    <x v="774"/>
    <x v="33"/>
    <x v="1"/>
    <x v="3"/>
  </r>
  <r>
    <n v="100349"/>
    <x v="553"/>
    <s v="AD-3615-A"/>
    <x v="1"/>
    <x v="0"/>
    <x v="3"/>
    <x v="1"/>
    <n v="5"/>
    <n v="26.47"/>
    <x v="2"/>
    <n v="119.11"/>
    <x v="775"/>
    <x v="17"/>
    <x v="0"/>
    <x v="6"/>
  </r>
  <r>
    <n v="100773"/>
    <x v="554"/>
    <s v="AD-7656-A"/>
    <x v="5"/>
    <x v="0"/>
    <x v="2"/>
    <x v="0"/>
    <n v="3"/>
    <n v="70.010000000000005"/>
    <x v="3"/>
    <n v="199.53"/>
    <x v="776"/>
    <x v="5"/>
    <x v="1"/>
    <x v="4"/>
  </r>
  <r>
    <n v="100195"/>
    <x v="458"/>
    <s v="AD-5873-D"/>
    <x v="8"/>
    <x v="2"/>
    <x v="3"/>
    <x v="1"/>
    <n v="3"/>
    <n v="15.14"/>
    <x v="3"/>
    <n v="43.15"/>
    <x v="777"/>
    <x v="5"/>
    <x v="0"/>
    <x v="2"/>
  </r>
  <r>
    <n v="100102"/>
    <x v="555"/>
    <s v="AD-5806-C"/>
    <x v="18"/>
    <x v="1"/>
    <x v="0"/>
    <x v="2"/>
    <n v="2"/>
    <n v="79.81"/>
    <x v="3"/>
    <n v="151.63999999999999"/>
    <x v="778"/>
    <x v="4"/>
    <x v="1"/>
    <x v="7"/>
  </r>
  <r>
    <n v="100004"/>
    <x v="556"/>
    <s v="AD-4150-A"/>
    <x v="18"/>
    <x v="1"/>
    <x v="1"/>
    <x v="1"/>
    <n v="2"/>
    <n v="85.46"/>
    <x v="0"/>
    <n v="170.92"/>
    <x v="779"/>
    <x v="20"/>
    <x v="0"/>
    <x v="4"/>
  </r>
  <r>
    <n v="100619"/>
    <x v="333"/>
    <s v="AD-1831-B"/>
    <x v="0"/>
    <x v="0"/>
    <x v="4"/>
    <x v="0"/>
    <n v="3"/>
    <n v="47.35"/>
    <x v="0"/>
    <n v="142.05000000000001"/>
    <x v="780"/>
    <x v="23"/>
    <x v="0"/>
    <x v="5"/>
  </r>
  <r>
    <n v="100990"/>
    <x v="523"/>
    <s v="AD-5981-D"/>
    <x v="8"/>
    <x v="2"/>
    <x v="4"/>
    <x v="1"/>
    <n v="2"/>
    <n v="16.89"/>
    <x v="3"/>
    <n v="32.090000000000003"/>
    <x v="781"/>
    <x v="31"/>
    <x v="0"/>
    <x v="7"/>
  </r>
  <r>
    <n v="100052"/>
    <x v="557"/>
    <s v="AD-8251-D"/>
    <x v="8"/>
    <x v="2"/>
    <x v="2"/>
    <x v="1"/>
    <n v="4"/>
    <n v="15.78"/>
    <x v="1"/>
    <n v="50.5"/>
    <x v="782"/>
    <x v="0"/>
    <x v="0"/>
    <x v="4"/>
  </r>
  <r>
    <n v="100263"/>
    <x v="217"/>
    <s v="AD-3292-A"/>
    <x v="5"/>
    <x v="0"/>
    <x v="2"/>
    <x v="1"/>
    <n v="4"/>
    <n v="70.349999999999994"/>
    <x v="0"/>
    <n v="281.39999999999998"/>
    <x v="783"/>
    <x v="18"/>
    <x v="1"/>
    <x v="2"/>
  </r>
  <r>
    <n v="101092"/>
    <x v="558"/>
    <s v="AD-3113-D"/>
    <x v="18"/>
    <x v="1"/>
    <x v="1"/>
    <x v="0"/>
    <n v="1"/>
    <n v="73"/>
    <x v="0"/>
    <n v="73"/>
    <x v="784"/>
    <x v="15"/>
    <x v="1"/>
    <x v="2"/>
  </r>
  <r>
    <n v="100443"/>
    <x v="559"/>
    <s v="AD-1092-C"/>
    <x v="15"/>
    <x v="1"/>
    <x v="0"/>
    <x v="0"/>
    <n v="3"/>
    <n v="131.82"/>
    <x v="3"/>
    <n v="375.69"/>
    <x v="785"/>
    <x v="16"/>
    <x v="0"/>
    <x v="0"/>
  </r>
  <r>
    <n v="100971"/>
    <x v="60"/>
    <s v="AD-7036-D"/>
    <x v="19"/>
    <x v="1"/>
    <x v="1"/>
    <x v="3"/>
    <n v="3"/>
    <n v="125.36"/>
    <x v="2"/>
    <n v="338.47"/>
    <x v="786"/>
    <x v="21"/>
    <x v="0"/>
    <x v="6"/>
  </r>
  <r>
    <n v="100782"/>
    <x v="560"/>
    <s v="AD-4677-B"/>
    <x v="10"/>
    <x v="2"/>
    <x v="2"/>
    <x v="1"/>
    <n v="1"/>
    <n v="41.95"/>
    <x v="3"/>
    <n v="39.85"/>
    <x v="555"/>
    <x v="5"/>
    <x v="0"/>
    <x v="1"/>
  </r>
  <r>
    <n v="100846"/>
    <x v="561"/>
    <s v="AD-7694-A"/>
    <x v="16"/>
    <x v="1"/>
    <x v="4"/>
    <x v="0"/>
    <n v="2"/>
    <n v="32.4"/>
    <x v="3"/>
    <n v="61.56"/>
    <x v="5"/>
    <x v="31"/>
    <x v="0"/>
    <x v="1"/>
  </r>
  <r>
    <n v="100691"/>
    <x v="562"/>
    <s v="AD-6872-C"/>
    <x v="2"/>
    <x v="1"/>
    <x v="4"/>
    <x v="1"/>
    <n v="2"/>
    <n v="105.28"/>
    <x v="0"/>
    <n v="210.56"/>
    <x v="787"/>
    <x v="3"/>
    <x v="0"/>
    <x v="3"/>
  </r>
  <r>
    <n v="100304"/>
    <x v="185"/>
    <s v="AD-6869-A"/>
    <x v="9"/>
    <x v="2"/>
    <x v="4"/>
    <x v="1"/>
    <n v="3"/>
    <n v="20.86"/>
    <x v="3"/>
    <n v="59.45"/>
    <x v="788"/>
    <x v="18"/>
    <x v="0"/>
    <x v="5"/>
  </r>
  <r>
    <n v="100341"/>
    <x v="563"/>
    <s v="AD-3290-A"/>
    <x v="12"/>
    <x v="0"/>
    <x v="0"/>
    <x v="1"/>
    <n v="5"/>
    <n v="115.78"/>
    <x v="0"/>
    <n v="578.9"/>
    <x v="789"/>
    <x v="26"/>
    <x v="1"/>
    <x v="1"/>
  </r>
  <r>
    <n v="100866"/>
    <x v="564"/>
    <s v="AD-5578-D"/>
    <x v="8"/>
    <x v="2"/>
    <x v="1"/>
    <x v="0"/>
    <n v="3"/>
    <n v="14.71"/>
    <x v="0"/>
    <n v="44.13"/>
    <x v="790"/>
    <x v="23"/>
    <x v="1"/>
    <x v="3"/>
  </r>
  <r>
    <n v="100313"/>
    <x v="565"/>
    <s v="AD-7745-D"/>
    <x v="17"/>
    <x v="2"/>
    <x v="0"/>
    <x v="0"/>
    <n v="2"/>
    <n v="43.15"/>
    <x v="2"/>
    <n v="77.67"/>
    <x v="791"/>
    <x v="35"/>
    <x v="0"/>
    <x v="3"/>
  </r>
  <r>
    <n v="100149"/>
    <x v="566"/>
    <s v="AD-9307-D"/>
    <x v="3"/>
    <x v="2"/>
    <x v="4"/>
    <x v="2"/>
    <n v="2"/>
    <n v="18.3"/>
    <x v="3"/>
    <n v="34.770000000000003"/>
    <x v="792"/>
    <x v="28"/>
    <x v="1"/>
    <x v="1"/>
  </r>
  <r>
    <n v="100124"/>
    <x v="567"/>
    <s v="AD-8344-C"/>
    <x v="1"/>
    <x v="0"/>
    <x v="0"/>
    <x v="1"/>
    <n v="1"/>
    <n v="30.15"/>
    <x v="2"/>
    <n v="27.13"/>
    <x v="354"/>
    <x v="25"/>
    <x v="0"/>
    <x v="5"/>
  </r>
  <r>
    <n v="101062"/>
    <x v="186"/>
    <s v="AD-2939-C"/>
    <x v="18"/>
    <x v="1"/>
    <x v="3"/>
    <x v="0"/>
    <n v="5"/>
    <n v="77.63"/>
    <x v="1"/>
    <n v="310.52"/>
    <x v="793"/>
    <x v="15"/>
    <x v="1"/>
    <x v="4"/>
  </r>
  <r>
    <n v="100574"/>
    <x v="568"/>
    <s v="AD-2015-C"/>
    <x v="7"/>
    <x v="1"/>
    <x v="0"/>
    <x v="0"/>
    <n v="2"/>
    <n v="169.92"/>
    <x v="2"/>
    <n v="305.86"/>
    <x v="794"/>
    <x v="11"/>
    <x v="1"/>
    <x v="0"/>
  </r>
  <r>
    <n v="100697"/>
    <x v="31"/>
    <s v="AD-4693-C"/>
    <x v="8"/>
    <x v="2"/>
    <x v="1"/>
    <x v="3"/>
    <n v="2"/>
    <n v="13.38"/>
    <x v="2"/>
    <n v="24.08"/>
    <x v="795"/>
    <x v="2"/>
    <x v="0"/>
    <x v="6"/>
  </r>
  <r>
    <n v="100664"/>
    <x v="15"/>
    <s v="AD-4327-B"/>
    <x v="2"/>
    <x v="1"/>
    <x v="2"/>
    <x v="0"/>
    <n v="1"/>
    <n v="102.55"/>
    <x v="3"/>
    <n v="97.42"/>
    <x v="796"/>
    <x v="0"/>
    <x v="0"/>
    <x v="0"/>
  </r>
  <r>
    <n v="100050"/>
    <x v="538"/>
    <s v="AD-4997-B"/>
    <x v="4"/>
    <x v="2"/>
    <x v="0"/>
    <x v="1"/>
    <n v="3"/>
    <n v="57.89"/>
    <x v="0"/>
    <n v="173.67"/>
    <x v="797"/>
    <x v="8"/>
    <x v="1"/>
    <x v="2"/>
  </r>
  <r>
    <n v="100726"/>
    <x v="85"/>
    <s v="AD-9612-A"/>
    <x v="13"/>
    <x v="0"/>
    <x v="4"/>
    <x v="0"/>
    <n v="3"/>
    <n v="127.14"/>
    <x v="0"/>
    <n v="381.42"/>
    <x v="798"/>
    <x v="5"/>
    <x v="1"/>
    <x v="6"/>
  </r>
  <r>
    <n v="100799"/>
    <x v="569"/>
    <s v="AD-2516-D"/>
    <x v="15"/>
    <x v="1"/>
    <x v="4"/>
    <x v="1"/>
    <n v="3"/>
    <n v="142.84"/>
    <x v="0"/>
    <n v="428.52"/>
    <x v="381"/>
    <x v="9"/>
    <x v="0"/>
    <x v="2"/>
  </r>
  <r>
    <n v="100353"/>
    <x v="314"/>
    <s v="AD-3137-C"/>
    <x v="15"/>
    <x v="1"/>
    <x v="4"/>
    <x v="1"/>
    <n v="3"/>
    <n v="148.06"/>
    <x v="1"/>
    <n v="355.34"/>
    <x v="799"/>
    <x v="25"/>
    <x v="1"/>
    <x v="6"/>
  </r>
  <r>
    <n v="101152"/>
    <x v="41"/>
    <s v="AD-9227-D"/>
    <x v="1"/>
    <x v="0"/>
    <x v="0"/>
    <x v="0"/>
    <n v="3"/>
    <n v="24.27"/>
    <x v="2"/>
    <n v="65.53"/>
    <x v="800"/>
    <x v="25"/>
    <x v="1"/>
    <x v="2"/>
  </r>
  <r>
    <n v="100142"/>
    <x v="364"/>
    <s v="AD-7626-D"/>
    <x v="15"/>
    <x v="1"/>
    <x v="1"/>
    <x v="0"/>
    <n v="3"/>
    <n v="131.71"/>
    <x v="3"/>
    <n v="375.37"/>
    <x v="801"/>
    <x v="23"/>
    <x v="1"/>
    <x v="2"/>
  </r>
  <r>
    <n v="100470"/>
    <x v="510"/>
    <s v="AD-5314-B"/>
    <x v="3"/>
    <x v="2"/>
    <x v="4"/>
    <x v="1"/>
    <n v="3"/>
    <n v="18.14"/>
    <x v="0"/>
    <n v="54.42"/>
    <x v="742"/>
    <x v="8"/>
    <x v="1"/>
    <x v="0"/>
  </r>
  <r>
    <n v="100653"/>
    <x v="496"/>
    <s v="AD-2600-A"/>
    <x v="7"/>
    <x v="1"/>
    <x v="4"/>
    <x v="0"/>
    <n v="3"/>
    <n v="166.49"/>
    <x v="3"/>
    <n v="474.5"/>
    <x v="802"/>
    <x v="27"/>
    <x v="1"/>
    <x v="2"/>
  </r>
  <r>
    <n v="100399"/>
    <x v="287"/>
    <s v="AD-2324-D"/>
    <x v="4"/>
    <x v="2"/>
    <x v="2"/>
    <x v="3"/>
    <n v="3"/>
    <n v="59.8"/>
    <x v="0"/>
    <n v="179.4"/>
    <x v="803"/>
    <x v="0"/>
    <x v="1"/>
    <x v="3"/>
  </r>
  <r>
    <n v="101153"/>
    <x v="570"/>
    <s v="AD-4177-C"/>
    <x v="13"/>
    <x v="0"/>
    <x v="4"/>
    <x v="0"/>
    <n v="1"/>
    <n v="111.64"/>
    <x v="2"/>
    <n v="100.48"/>
    <x v="804"/>
    <x v="7"/>
    <x v="0"/>
    <x v="2"/>
  </r>
  <r>
    <n v="100937"/>
    <x v="571"/>
    <s v="AD-3844-A"/>
    <x v="8"/>
    <x v="2"/>
    <x v="1"/>
    <x v="0"/>
    <n v="3"/>
    <n v="14.6"/>
    <x v="3"/>
    <n v="41.61"/>
    <x v="805"/>
    <x v="11"/>
    <x v="1"/>
    <x v="4"/>
  </r>
  <r>
    <n v="100320"/>
    <x v="92"/>
    <s v="AD-2294-B"/>
    <x v="12"/>
    <x v="0"/>
    <x v="1"/>
    <x v="1"/>
    <n v="3"/>
    <n v="134.80000000000001"/>
    <x v="2"/>
    <n v="363.96"/>
    <x v="806"/>
    <x v="9"/>
    <x v="1"/>
    <x v="0"/>
  </r>
  <r>
    <n v="100019"/>
    <x v="572"/>
    <s v="AD-9834-B"/>
    <x v="15"/>
    <x v="1"/>
    <x v="4"/>
    <x v="0"/>
    <n v="2"/>
    <n v="154.15"/>
    <x v="0"/>
    <n v="308.3"/>
    <x v="807"/>
    <x v="27"/>
    <x v="0"/>
    <x v="6"/>
  </r>
  <r>
    <n v="100684"/>
    <x v="573"/>
    <s v="AD-7346-C"/>
    <x v="9"/>
    <x v="2"/>
    <x v="1"/>
    <x v="0"/>
    <n v="3"/>
    <n v="19.989999999999998"/>
    <x v="2"/>
    <n v="53.97"/>
    <x v="808"/>
    <x v="27"/>
    <x v="0"/>
    <x v="3"/>
  </r>
  <r>
    <n v="100035"/>
    <x v="379"/>
    <s v="AD-1158-A"/>
    <x v="13"/>
    <x v="0"/>
    <x v="0"/>
    <x v="0"/>
    <n v="5"/>
    <n v="127.11"/>
    <x v="0"/>
    <n v="635.54999999999995"/>
    <x v="809"/>
    <x v="13"/>
    <x v="0"/>
    <x v="2"/>
  </r>
  <r>
    <n v="100824"/>
    <x v="574"/>
    <s v="AD-4671-D"/>
    <x v="10"/>
    <x v="2"/>
    <x v="4"/>
    <x v="0"/>
    <n v="3"/>
    <n v="47.75"/>
    <x v="2"/>
    <n v="128.93"/>
    <x v="810"/>
    <x v="8"/>
    <x v="0"/>
    <x v="1"/>
  </r>
  <r>
    <n v="100505"/>
    <x v="263"/>
    <s v="AD-6171-A"/>
    <x v="11"/>
    <x v="0"/>
    <x v="0"/>
    <x v="0"/>
    <n v="2"/>
    <n v="33.19"/>
    <x v="3"/>
    <n v="63.06"/>
    <x v="811"/>
    <x v="28"/>
    <x v="0"/>
    <x v="5"/>
  </r>
  <r>
    <n v="100827"/>
    <x v="402"/>
    <s v="AD-3572-C"/>
    <x v="8"/>
    <x v="2"/>
    <x v="4"/>
    <x v="1"/>
    <n v="4"/>
    <n v="12"/>
    <x v="2"/>
    <n v="43.2"/>
    <x v="812"/>
    <x v="16"/>
    <x v="0"/>
    <x v="4"/>
  </r>
  <r>
    <n v="101070"/>
    <x v="575"/>
    <s v="AD-2804-A"/>
    <x v="6"/>
    <x v="1"/>
    <x v="2"/>
    <x v="0"/>
    <n v="5"/>
    <n v="185.68"/>
    <x v="1"/>
    <n v="742.72"/>
    <x v="813"/>
    <x v="19"/>
    <x v="1"/>
    <x v="3"/>
  </r>
  <r>
    <n v="100407"/>
    <x v="576"/>
    <s v="AD-1790-A"/>
    <x v="8"/>
    <x v="2"/>
    <x v="0"/>
    <x v="0"/>
    <n v="3"/>
    <n v="13.81"/>
    <x v="0"/>
    <n v="41.43"/>
    <x v="814"/>
    <x v="11"/>
    <x v="1"/>
    <x v="7"/>
  </r>
  <r>
    <n v="100817"/>
    <x v="432"/>
    <s v="AD-4799-A"/>
    <x v="9"/>
    <x v="2"/>
    <x v="0"/>
    <x v="3"/>
    <n v="2"/>
    <n v="22.06"/>
    <x v="0"/>
    <n v="44.12"/>
    <x v="815"/>
    <x v="9"/>
    <x v="0"/>
    <x v="5"/>
  </r>
  <r>
    <n v="100537"/>
    <x v="577"/>
    <s v="AD-2497-C"/>
    <x v="9"/>
    <x v="2"/>
    <x v="4"/>
    <x v="1"/>
    <n v="3"/>
    <n v="21.54"/>
    <x v="0"/>
    <n v="64.62"/>
    <x v="816"/>
    <x v="19"/>
    <x v="1"/>
    <x v="5"/>
  </r>
  <r>
    <n v="100758"/>
    <x v="268"/>
    <s v="AD-1304-B"/>
    <x v="8"/>
    <x v="2"/>
    <x v="1"/>
    <x v="0"/>
    <n v="3"/>
    <n v="15.28"/>
    <x v="3"/>
    <n v="43.55"/>
    <x v="817"/>
    <x v="24"/>
    <x v="1"/>
    <x v="3"/>
  </r>
  <r>
    <n v="101068"/>
    <x v="578"/>
    <s v="AD-9826-D"/>
    <x v="13"/>
    <x v="0"/>
    <x v="3"/>
    <x v="3"/>
    <n v="3"/>
    <n v="112.57"/>
    <x v="2"/>
    <n v="303.94"/>
    <x v="818"/>
    <x v="16"/>
    <x v="1"/>
    <x v="5"/>
  </r>
  <r>
    <n v="100892"/>
    <x v="579"/>
    <s v="AD-5909-D"/>
    <x v="9"/>
    <x v="2"/>
    <x v="3"/>
    <x v="1"/>
    <n v="1"/>
    <n v="23.81"/>
    <x v="0"/>
    <n v="23.81"/>
    <x v="819"/>
    <x v="31"/>
    <x v="1"/>
    <x v="4"/>
  </r>
  <r>
    <n v="100038"/>
    <x v="452"/>
    <s v="AD-7745-B"/>
    <x v="7"/>
    <x v="1"/>
    <x v="0"/>
    <x v="2"/>
    <n v="5"/>
    <n v="163.9"/>
    <x v="0"/>
    <n v="819.5"/>
    <x v="820"/>
    <x v="17"/>
    <x v="1"/>
    <x v="4"/>
  </r>
  <r>
    <n v="100175"/>
    <x v="580"/>
    <s v="AD-5150-A"/>
    <x v="16"/>
    <x v="1"/>
    <x v="1"/>
    <x v="0"/>
    <n v="1"/>
    <n v="33.53"/>
    <x v="0"/>
    <n v="33.53"/>
    <x v="208"/>
    <x v="5"/>
    <x v="1"/>
    <x v="5"/>
  </r>
  <r>
    <n v="100245"/>
    <x v="49"/>
    <s v="AD-6411-A"/>
    <x v="4"/>
    <x v="2"/>
    <x v="0"/>
    <x v="0"/>
    <n v="6"/>
    <n v="54.57"/>
    <x v="0"/>
    <n v="327.42"/>
    <x v="821"/>
    <x v="11"/>
    <x v="1"/>
    <x v="6"/>
  </r>
  <r>
    <n v="100810"/>
    <x v="581"/>
    <s v="AD-2911-A"/>
    <x v="19"/>
    <x v="1"/>
    <x v="0"/>
    <x v="0"/>
    <n v="3"/>
    <n v="140.88999999999999"/>
    <x v="4"/>
    <n v="253.6"/>
    <x v="822"/>
    <x v="30"/>
    <x v="1"/>
    <x v="2"/>
  </r>
  <r>
    <n v="101084"/>
    <x v="474"/>
    <s v="AD-6830-B"/>
    <x v="11"/>
    <x v="0"/>
    <x v="3"/>
    <x v="1"/>
    <n v="4"/>
    <n v="29.67"/>
    <x v="0"/>
    <n v="118.68"/>
    <x v="823"/>
    <x v="16"/>
    <x v="1"/>
    <x v="2"/>
  </r>
  <r>
    <n v="101077"/>
    <x v="444"/>
    <s v="AD-4724-D"/>
    <x v="4"/>
    <x v="2"/>
    <x v="2"/>
    <x v="1"/>
    <n v="1"/>
    <n v="60.97"/>
    <x v="0"/>
    <n v="60.97"/>
    <x v="824"/>
    <x v="5"/>
    <x v="0"/>
    <x v="0"/>
  </r>
  <r>
    <n v="100784"/>
    <x v="142"/>
    <s v="AD-5068-C"/>
    <x v="7"/>
    <x v="1"/>
    <x v="4"/>
    <x v="0"/>
    <n v="5"/>
    <n v="176.44"/>
    <x v="3"/>
    <n v="838.09"/>
    <x v="825"/>
    <x v="0"/>
    <x v="1"/>
    <x v="5"/>
  </r>
  <r>
    <n v="101184"/>
    <x v="444"/>
    <s v="AD-4849-C"/>
    <x v="10"/>
    <x v="2"/>
    <x v="4"/>
    <x v="0"/>
    <n v="3"/>
    <n v="49.69"/>
    <x v="3"/>
    <n v="141.62"/>
    <x v="826"/>
    <x v="27"/>
    <x v="1"/>
    <x v="3"/>
  </r>
  <r>
    <n v="100489"/>
    <x v="582"/>
    <s v="AD-2049-C"/>
    <x v="6"/>
    <x v="1"/>
    <x v="0"/>
    <x v="1"/>
    <n v="4"/>
    <n v="148.24"/>
    <x v="0"/>
    <n v="592.96"/>
    <x v="827"/>
    <x v="20"/>
    <x v="0"/>
    <x v="1"/>
  </r>
  <r>
    <n v="100154"/>
    <x v="583"/>
    <s v="AD-6461-A"/>
    <x v="8"/>
    <x v="2"/>
    <x v="4"/>
    <x v="1"/>
    <n v="6"/>
    <n v="14.38"/>
    <x v="0"/>
    <n v="86.28"/>
    <x v="828"/>
    <x v="12"/>
    <x v="0"/>
    <x v="3"/>
  </r>
  <r>
    <n v="100638"/>
    <x v="584"/>
    <s v="AD-9161-B"/>
    <x v="4"/>
    <x v="2"/>
    <x v="1"/>
    <x v="0"/>
    <n v="5"/>
    <n v="63.27"/>
    <x v="0"/>
    <n v="316.35000000000002"/>
    <x v="829"/>
    <x v="9"/>
    <x v="1"/>
    <x v="7"/>
  </r>
  <r>
    <n v="100662"/>
    <x v="585"/>
    <s v="AD-1054-D"/>
    <x v="4"/>
    <x v="2"/>
    <x v="0"/>
    <x v="2"/>
    <n v="2"/>
    <n v="63.3"/>
    <x v="3"/>
    <n v="120.27"/>
    <x v="285"/>
    <x v="9"/>
    <x v="1"/>
    <x v="6"/>
  </r>
  <r>
    <n v="100853"/>
    <x v="491"/>
    <s v="AD-2395-B"/>
    <x v="6"/>
    <x v="1"/>
    <x v="0"/>
    <x v="1"/>
    <n v="3"/>
    <n v="176.67"/>
    <x v="0"/>
    <n v="530.01"/>
    <x v="830"/>
    <x v="10"/>
    <x v="0"/>
    <x v="1"/>
  </r>
  <r>
    <n v="100287"/>
    <x v="125"/>
    <s v="AD-4519-B"/>
    <x v="6"/>
    <x v="1"/>
    <x v="2"/>
    <x v="0"/>
    <n v="1"/>
    <n v="153.12"/>
    <x v="0"/>
    <n v="153.12"/>
    <x v="831"/>
    <x v="22"/>
    <x v="1"/>
    <x v="7"/>
  </r>
  <r>
    <n v="100625"/>
    <x v="570"/>
    <s v="AD-5949-D"/>
    <x v="18"/>
    <x v="1"/>
    <x v="0"/>
    <x v="0"/>
    <n v="4"/>
    <n v="83.94"/>
    <x v="3"/>
    <n v="318.97000000000003"/>
    <x v="832"/>
    <x v="9"/>
    <x v="0"/>
    <x v="1"/>
  </r>
  <r>
    <n v="101199"/>
    <x v="504"/>
    <s v="AD-4399-D"/>
    <x v="7"/>
    <x v="1"/>
    <x v="3"/>
    <x v="1"/>
    <n v="2"/>
    <n v="176.23"/>
    <x v="0"/>
    <n v="352.46"/>
    <x v="833"/>
    <x v="13"/>
    <x v="1"/>
    <x v="6"/>
  </r>
  <r>
    <n v="100685"/>
    <x v="586"/>
    <s v="AD-1525-A"/>
    <x v="3"/>
    <x v="2"/>
    <x v="0"/>
    <x v="3"/>
    <n v="3"/>
    <n v="20.6"/>
    <x v="0"/>
    <n v="61.8"/>
    <x v="834"/>
    <x v="11"/>
    <x v="1"/>
    <x v="3"/>
  </r>
  <r>
    <n v="100872"/>
    <x v="373"/>
    <s v="AD-4137-A"/>
    <x v="16"/>
    <x v="1"/>
    <x v="4"/>
    <x v="0"/>
    <n v="4"/>
    <n v="32.76"/>
    <x v="3"/>
    <n v="124.49"/>
    <x v="835"/>
    <x v="7"/>
    <x v="1"/>
    <x v="4"/>
  </r>
  <r>
    <n v="100569"/>
    <x v="307"/>
    <s v="AD-9631-A"/>
    <x v="9"/>
    <x v="2"/>
    <x v="3"/>
    <x v="1"/>
    <n v="5"/>
    <n v="18.39"/>
    <x v="0"/>
    <n v="91.95"/>
    <x v="836"/>
    <x v="7"/>
    <x v="0"/>
    <x v="2"/>
  </r>
  <r>
    <n v="101143"/>
    <x v="587"/>
    <s v="AD-5422-B"/>
    <x v="15"/>
    <x v="1"/>
    <x v="3"/>
    <x v="0"/>
    <n v="3"/>
    <n v="141.38"/>
    <x v="2"/>
    <n v="381.73"/>
    <x v="837"/>
    <x v="19"/>
    <x v="1"/>
    <x v="2"/>
  </r>
  <r>
    <n v="100734"/>
    <x v="200"/>
    <s v="AD-4506-D"/>
    <x v="16"/>
    <x v="1"/>
    <x v="4"/>
    <x v="1"/>
    <n v="2"/>
    <n v="35.51"/>
    <x v="0"/>
    <n v="71.02"/>
    <x v="838"/>
    <x v="12"/>
    <x v="1"/>
    <x v="1"/>
  </r>
  <r>
    <n v="100792"/>
    <x v="215"/>
    <s v="AD-3435-A"/>
    <x v="14"/>
    <x v="1"/>
    <x v="2"/>
    <x v="1"/>
    <n v="4"/>
    <n v="252.89"/>
    <x v="0"/>
    <n v="1011.56"/>
    <x v="839"/>
    <x v="9"/>
    <x v="1"/>
    <x v="6"/>
  </r>
  <r>
    <n v="100017"/>
    <x v="588"/>
    <s v="AD-2982-B"/>
    <x v="0"/>
    <x v="0"/>
    <x v="0"/>
    <x v="0"/>
    <n v="4"/>
    <n v="59.26"/>
    <x v="3"/>
    <n v="225.19"/>
    <x v="840"/>
    <x v="10"/>
    <x v="0"/>
    <x v="5"/>
  </r>
  <r>
    <n v="100127"/>
    <x v="143"/>
    <s v="AD-7240-C"/>
    <x v="19"/>
    <x v="1"/>
    <x v="4"/>
    <x v="1"/>
    <n v="2"/>
    <n v="108.44"/>
    <x v="2"/>
    <n v="195.19"/>
    <x v="841"/>
    <x v="25"/>
    <x v="0"/>
    <x v="4"/>
  </r>
  <r>
    <n v="100322"/>
    <x v="589"/>
    <s v="AD-6067-B"/>
    <x v="5"/>
    <x v="0"/>
    <x v="4"/>
    <x v="0"/>
    <n v="4"/>
    <n v="74.05"/>
    <x v="2"/>
    <n v="266.58"/>
    <x v="842"/>
    <x v="23"/>
    <x v="1"/>
    <x v="7"/>
  </r>
  <r>
    <n v="100255"/>
    <x v="590"/>
    <s v="AD-8916-D"/>
    <x v="5"/>
    <x v="0"/>
    <x v="4"/>
    <x v="0"/>
    <n v="2"/>
    <n v="82.82"/>
    <x v="2"/>
    <n v="149.08000000000001"/>
    <x v="843"/>
    <x v="17"/>
    <x v="1"/>
    <x v="7"/>
  </r>
  <r>
    <n v="100943"/>
    <x v="591"/>
    <s v="AD-4309-B"/>
    <x v="4"/>
    <x v="2"/>
    <x v="0"/>
    <x v="0"/>
    <n v="5"/>
    <n v="62.58"/>
    <x v="0"/>
    <n v="312.89999999999998"/>
    <x v="844"/>
    <x v="26"/>
    <x v="1"/>
    <x v="0"/>
  </r>
  <r>
    <n v="101179"/>
    <x v="451"/>
    <s v="AD-2387-A"/>
    <x v="12"/>
    <x v="0"/>
    <x v="1"/>
    <x v="1"/>
    <n v="2"/>
    <n v="128.56"/>
    <x v="0"/>
    <n v="257.12"/>
    <x v="845"/>
    <x v="0"/>
    <x v="1"/>
    <x v="7"/>
  </r>
  <r>
    <n v="100190"/>
    <x v="451"/>
    <s v="AD-3114-D"/>
    <x v="13"/>
    <x v="0"/>
    <x v="1"/>
    <x v="1"/>
    <n v="1"/>
    <n v="118.28"/>
    <x v="0"/>
    <n v="118.28"/>
    <x v="846"/>
    <x v="29"/>
    <x v="1"/>
    <x v="3"/>
  </r>
  <r>
    <n v="100115"/>
    <x v="536"/>
    <s v="AD-2035-D"/>
    <x v="5"/>
    <x v="0"/>
    <x v="0"/>
    <x v="3"/>
    <n v="2"/>
    <n v="67.510000000000005"/>
    <x v="3"/>
    <n v="128.27000000000001"/>
    <x v="847"/>
    <x v="17"/>
    <x v="1"/>
    <x v="6"/>
  </r>
  <r>
    <n v="101173"/>
    <x v="592"/>
    <s v="AD-2607-C"/>
    <x v="9"/>
    <x v="2"/>
    <x v="4"/>
    <x v="1"/>
    <n v="3"/>
    <n v="22.53"/>
    <x v="0"/>
    <n v="67.59"/>
    <x v="87"/>
    <x v="4"/>
    <x v="1"/>
    <x v="2"/>
  </r>
  <r>
    <n v="100888"/>
    <x v="593"/>
    <s v="AD-1991-B"/>
    <x v="4"/>
    <x v="2"/>
    <x v="0"/>
    <x v="0"/>
    <n v="2"/>
    <n v="58.87"/>
    <x v="3"/>
    <n v="111.85"/>
    <x v="848"/>
    <x v="9"/>
    <x v="1"/>
    <x v="7"/>
  </r>
  <r>
    <n v="100606"/>
    <x v="594"/>
    <s v="AD-3877-B"/>
    <x v="6"/>
    <x v="1"/>
    <x v="1"/>
    <x v="0"/>
    <n v="4"/>
    <n v="161.56"/>
    <x v="2"/>
    <n v="581.62"/>
    <x v="849"/>
    <x v="21"/>
    <x v="0"/>
    <x v="7"/>
  </r>
  <r>
    <n v="100180"/>
    <x v="595"/>
    <s v="AD-1939-A"/>
    <x v="3"/>
    <x v="2"/>
    <x v="2"/>
    <x v="0"/>
    <n v="2"/>
    <n v="17.649999999999999"/>
    <x v="2"/>
    <n v="31.77"/>
    <x v="850"/>
    <x v="22"/>
    <x v="2"/>
    <x v="0"/>
  </r>
  <r>
    <n v="100301"/>
    <x v="596"/>
    <s v="AD-5090-B"/>
    <x v="4"/>
    <x v="2"/>
    <x v="3"/>
    <x v="2"/>
    <n v="1"/>
    <n v="63.33"/>
    <x v="0"/>
    <n v="63.33"/>
    <x v="543"/>
    <x v="29"/>
    <x v="1"/>
    <x v="3"/>
  </r>
  <r>
    <n v="100496"/>
    <x v="106"/>
    <s v="AD-9813-C"/>
    <x v="2"/>
    <x v="1"/>
    <x v="1"/>
    <x v="0"/>
    <n v="4"/>
    <n v="103.78"/>
    <x v="0"/>
    <n v="415.12"/>
    <x v="851"/>
    <x v="3"/>
    <x v="1"/>
    <x v="0"/>
  </r>
  <r>
    <n v="100348"/>
    <x v="597"/>
    <s v="AD-6224-B"/>
    <x v="9"/>
    <x v="2"/>
    <x v="0"/>
    <x v="0"/>
    <n v="3"/>
    <n v="21.94"/>
    <x v="3"/>
    <n v="62.53"/>
    <x v="284"/>
    <x v="16"/>
    <x v="1"/>
    <x v="7"/>
  </r>
  <r>
    <n v="101035"/>
    <x v="438"/>
    <s v="AD-6507-D"/>
    <x v="15"/>
    <x v="1"/>
    <x v="1"/>
    <x v="1"/>
    <n v="2"/>
    <n v="150.16"/>
    <x v="3"/>
    <n v="285.3"/>
    <x v="852"/>
    <x v="19"/>
    <x v="2"/>
    <x v="6"/>
  </r>
  <r>
    <n v="100982"/>
    <x v="598"/>
    <s v="AD-7359-D"/>
    <x v="13"/>
    <x v="0"/>
    <x v="0"/>
    <x v="0"/>
    <n v="2"/>
    <n v="122.97"/>
    <x v="0"/>
    <n v="245.94"/>
    <x v="853"/>
    <x v="18"/>
    <x v="1"/>
    <x v="6"/>
  </r>
  <r>
    <n v="100744"/>
    <x v="553"/>
    <s v="AD-7269-C"/>
    <x v="18"/>
    <x v="1"/>
    <x v="2"/>
    <x v="1"/>
    <n v="1"/>
    <n v="81.45"/>
    <x v="0"/>
    <n v="81.45"/>
    <x v="854"/>
    <x v="34"/>
    <x v="1"/>
    <x v="3"/>
  </r>
  <r>
    <n v="101151"/>
    <x v="599"/>
    <s v="AD-8802-D"/>
    <x v="18"/>
    <x v="1"/>
    <x v="4"/>
    <x v="2"/>
    <n v="3"/>
    <n v="89.65"/>
    <x v="0"/>
    <n v="268.95"/>
    <x v="855"/>
    <x v="32"/>
    <x v="1"/>
    <x v="7"/>
  </r>
  <r>
    <n v="100517"/>
    <x v="600"/>
    <s v="AD-3048-B"/>
    <x v="11"/>
    <x v="0"/>
    <x v="1"/>
    <x v="1"/>
    <n v="4"/>
    <n v="31.97"/>
    <x v="0"/>
    <n v="127.88"/>
    <x v="856"/>
    <x v="27"/>
    <x v="1"/>
    <x v="7"/>
  </r>
  <r>
    <n v="100372"/>
    <x v="601"/>
    <s v="AD-2970-D"/>
    <x v="2"/>
    <x v="1"/>
    <x v="2"/>
    <x v="0"/>
    <n v="3"/>
    <n v="90.24"/>
    <x v="3"/>
    <n v="257.18"/>
    <x v="857"/>
    <x v="9"/>
    <x v="0"/>
    <x v="3"/>
  </r>
  <r>
    <n v="100045"/>
    <x v="284"/>
    <s v="AD-6344-D"/>
    <x v="13"/>
    <x v="0"/>
    <x v="4"/>
    <x v="2"/>
    <n v="2"/>
    <n v="128.31"/>
    <x v="0"/>
    <n v="256.62"/>
    <x v="858"/>
    <x v="19"/>
    <x v="1"/>
    <x v="2"/>
  </r>
  <r>
    <n v="100476"/>
    <x v="493"/>
    <s v="AD-2404-B"/>
    <x v="7"/>
    <x v="1"/>
    <x v="1"/>
    <x v="3"/>
    <n v="3"/>
    <n v="157.22"/>
    <x v="0"/>
    <n v="471.66"/>
    <x v="859"/>
    <x v="27"/>
    <x v="0"/>
    <x v="0"/>
  </r>
  <r>
    <n v="100157"/>
    <x v="602"/>
    <s v="AD-4711-B"/>
    <x v="11"/>
    <x v="0"/>
    <x v="3"/>
    <x v="0"/>
    <n v="4"/>
    <n v="27.1"/>
    <x v="3"/>
    <n v="102.98"/>
    <x v="860"/>
    <x v="25"/>
    <x v="0"/>
    <x v="6"/>
  </r>
  <r>
    <n v="101046"/>
    <x v="24"/>
    <s v="AD-9401-D"/>
    <x v="1"/>
    <x v="0"/>
    <x v="4"/>
    <x v="1"/>
    <n v="1"/>
    <n v="21.96"/>
    <x v="1"/>
    <n v="17.57"/>
    <x v="861"/>
    <x v="25"/>
    <x v="0"/>
    <x v="7"/>
  </r>
  <r>
    <n v="100171"/>
    <x v="542"/>
    <s v="AD-7397-D"/>
    <x v="2"/>
    <x v="1"/>
    <x v="1"/>
    <x v="3"/>
    <n v="3"/>
    <n v="84.74"/>
    <x v="0"/>
    <n v="254.22"/>
    <x v="862"/>
    <x v="12"/>
    <x v="1"/>
    <x v="7"/>
  </r>
  <r>
    <n v="100016"/>
    <x v="145"/>
    <s v="AD-9835-B"/>
    <x v="9"/>
    <x v="2"/>
    <x v="4"/>
    <x v="1"/>
    <n v="6"/>
    <n v="20.58"/>
    <x v="0"/>
    <n v="123.48"/>
    <x v="863"/>
    <x v="3"/>
    <x v="0"/>
    <x v="6"/>
  </r>
  <r>
    <n v="100511"/>
    <x v="603"/>
    <s v="AD-5166-D"/>
    <x v="8"/>
    <x v="2"/>
    <x v="4"/>
    <x v="0"/>
    <n v="2"/>
    <n v="17.02"/>
    <x v="0"/>
    <n v="34.04"/>
    <x v="864"/>
    <x v="9"/>
    <x v="1"/>
    <x v="6"/>
  </r>
  <r>
    <n v="100048"/>
    <x v="141"/>
    <s v="AD-5649-C"/>
    <x v="16"/>
    <x v="1"/>
    <x v="0"/>
    <x v="3"/>
    <n v="2"/>
    <n v="36.24"/>
    <x v="0"/>
    <n v="72.48"/>
    <x v="865"/>
    <x v="16"/>
    <x v="0"/>
    <x v="1"/>
  </r>
  <r>
    <n v="100191"/>
    <x v="263"/>
    <s v="AD-6669-C"/>
    <x v="15"/>
    <x v="1"/>
    <x v="1"/>
    <x v="0"/>
    <n v="3"/>
    <n v="157.69"/>
    <x v="0"/>
    <n v="473.07"/>
    <x v="866"/>
    <x v="25"/>
    <x v="1"/>
    <x v="6"/>
  </r>
  <r>
    <n v="100546"/>
    <x v="604"/>
    <s v="AD-1214-B"/>
    <x v="19"/>
    <x v="1"/>
    <x v="4"/>
    <x v="0"/>
    <n v="6"/>
    <n v="137.22999999999999"/>
    <x v="0"/>
    <n v="823.38"/>
    <x v="867"/>
    <x v="23"/>
    <x v="0"/>
    <x v="1"/>
  </r>
  <r>
    <n v="100515"/>
    <x v="285"/>
    <s v="AD-2168-A"/>
    <x v="7"/>
    <x v="1"/>
    <x v="2"/>
    <x v="0"/>
    <n v="5"/>
    <n v="158.09"/>
    <x v="0"/>
    <n v="790.45"/>
    <x v="868"/>
    <x v="25"/>
    <x v="0"/>
    <x v="2"/>
  </r>
  <r>
    <n v="100977"/>
    <x v="505"/>
    <s v="AD-2728-D"/>
    <x v="8"/>
    <x v="2"/>
    <x v="4"/>
    <x v="1"/>
    <n v="2"/>
    <n v="14.39"/>
    <x v="1"/>
    <n v="23.02"/>
    <x v="869"/>
    <x v="3"/>
    <x v="0"/>
    <x v="1"/>
  </r>
  <r>
    <n v="100938"/>
    <x v="128"/>
    <s v="AD-7045-A"/>
    <x v="13"/>
    <x v="0"/>
    <x v="4"/>
    <x v="0"/>
    <n v="4"/>
    <n v="118.34"/>
    <x v="2"/>
    <n v="426.02"/>
    <x v="870"/>
    <x v="9"/>
    <x v="0"/>
    <x v="0"/>
  </r>
  <r>
    <n v="100828"/>
    <x v="548"/>
    <s v="AD-6482-B"/>
    <x v="3"/>
    <x v="2"/>
    <x v="1"/>
    <x v="2"/>
    <n v="3"/>
    <n v="19.97"/>
    <x v="0"/>
    <n v="59.91"/>
    <x v="871"/>
    <x v="25"/>
    <x v="1"/>
    <x v="4"/>
  </r>
  <r>
    <n v="100983"/>
    <x v="605"/>
    <s v="AD-2746-D"/>
    <x v="11"/>
    <x v="0"/>
    <x v="3"/>
    <x v="0"/>
    <n v="2"/>
    <n v="31.96"/>
    <x v="0"/>
    <n v="63.92"/>
    <x v="458"/>
    <x v="9"/>
    <x v="0"/>
    <x v="6"/>
  </r>
  <r>
    <n v="100480"/>
    <x v="136"/>
    <s v="AD-8901-B"/>
    <x v="19"/>
    <x v="1"/>
    <x v="2"/>
    <x v="1"/>
    <n v="2"/>
    <n v="126.51"/>
    <x v="0"/>
    <n v="253.02"/>
    <x v="872"/>
    <x v="18"/>
    <x v="0"/>
    <x v="1"/>
  </r>
  <r>
    <n v="101128"/>
    <x v="505"/>
    <s v="AD-8144-D"/>
    <x v="16"/>
    <x v="1"/>
    <x v="1"/>
    <x v="1"/>
    <n v="2"/>
    <n v="34.69"/>
    <x v="0"/>
    <n v="69.38"/>
    <x v="873"/>
    <x v="5"/>
    <x v="1"/>
    <x v="5"/>
  </r>
  <r>
    <n v="100283"/>
    <x v="8"/>
    <s v="AD-6110-C"/>
    <x v="4"/>
    <x v="2"/>
    <x v="4"/>
    <x v="2"/>
    <n v="2"/>
    <n v="66.06"/>
    <x v="0"/>
    <n v="132.12"/>
    <x v="874"/>
    <x v="35"/>
    <x v="0"/>
    <x v="4"/>
  </r>
  <r>
    <n v="101029"/>
    <x v="436"/>
    <s v="AD-9222-D"/>
    <x v="4"/>
    <x v="2"/>
    <x v="1"/>
    <x v="1"/>
    <n v="3"/>
    <n v="60.7"/>
    <x v="3"/>
    <n v="173"/>
    <x v="875"/>
    <x v="2"/>
    <x v="1"/>
    <x v="2"/>
  </r>
  <r>
    <n v="100797"/>
    <x v="606"/>
    <s v="AD-8861-D"/>
    <x v="17"/>
    <x v="2"/>
    <x v="4"/>
    <x v="0"/>
    <n v="4"/>
    <n v="40.64"/>
    <x v="0"/>
    <n v="162.56"/>
    <x v="876"/>
    <x v="23"/>
    <x v="1"/>
    <x v="5"/>
  </r>
  <r>
    <n v="100939"/>
    <x v="340"/>
    <s v="AD-5127-A"/>
    <x v="16"/>
    <x v="1"/>
    <x v="0"/>
    <x v="1"/>
    <n v="5"/>
    <n v="35.06"/>
    <x v="3"/>
    <n v="166.53"/>
    <x v="877"/>
    <x v="8"/>
    <x v="2"/>
    <x v="3"/>
  </r>
  <r>
    <n v="100225"/>
    <x v="552"/>
    <s v="AD-5374-C"/>
    <x v="14"/>
    <x v="1"/>
    <x v="3"/>
    <x v="0"/>
    <n v="2"/>
    <n v="233.61"/>
    <x v="3"/>
    <n v="443.86"/>
    <x v="878"/>
    <x v="27"/>
    <x v="1"/>
    <x v="5"/>
  </r>
  <r>
    <n v="100026"/>
    <x v="111"/>
    <s v="AD-1936-A"/>
    <x v="16"/>
    <x v="1"/>
    <x v="3"/>
    <x v="1"/>
    <n v="4"/>
    <n v="32.03"/>
    <x v="3"/>
    <n v="121.71"/>
    <x v="879"/>
    <x v="25"/>
    <x v="1"/>
    <x v="4"/>
  </r>
  <r>
    <n v="100282"/>
    <x v="607"/>
    <s v="AD-8909-A"/>
    <x v="3"/>
    <x v="2"/>
    <x v="0"/>
    <x v="1"/>
    <n v="2"/>
    <n v="15.96"/>
    <x v="0"/>
    <n v="31.92"/>
    <x v="880"/>
    <x v="26"/>
    <x v="1"/>
    <x v="7"/>
  </r>
  <r>
    <n v="101149"/>
    <x v="608"/>
    <s v="AD-9412-B"/>
    <x v="10"/>
    <x v="2"/>
    <x v="4"/>
    <x v="2"/>
    <n v="1"/>
    <n v="40.53"/>
    <x v="2"/>
    <n v="36.479999999999997"/>
    <x v="881"/>
    <x v="9"/>
    <x v="1"/>
    <x v="5"/>
  </r>
  <r>
    <n v="100437"/>
    <x v="509"/>
    <s v="AD-4275-C"/>
    <x v="4"/>
    <x v="2"/>
    <x v="1"/>
    <x v="0"/>
    <n v="7"/>
    <n v="54.13"/>
    <x v="0"/>
    <n v="378.91"/>
    <x v="882"/>
    <x v="18"/>
    <x v="1"/>
    <x v="7"/>
  </r>
  <r>
    <n v="101167"/>
    <x v="346"/>
    <s v="AD-4122-A"/>
    <x v="11"/>
    <x v="0"/>
    <x v="1"/>
    <x v="0"/>
    <n v="4"/>
    <n v="30.04"/>
    <x v="0"/>
    <n v="120.16"/>
    <x v="883"/>
    <x v="5"/>
    <x v="2"/>
    <x v="0"/>
  </r>
  <r>
    <n v="100364"/>
    <x v="609"/>
    <s v="AD-8113-B"/>
    <x v="19"/>
    <x v="1"/>
    <x v="2"/>
    <x v="1"/>
    <n v="2"/>
    <n v="117.21"/>
    <x v="0"/>
    <n v="234.42"/>
    <x v="884"/>
    <x v="14"/>
    <x v="1"/>
    <x v="3"/>
  </r>
  <r>
    <n v="100229"/>
    <x v="70"/>
    <s v="AD-9609-D"/>
    <x v="8"/>
    <x v="2"/>
    <x v="0"/>
    <x v="1"/>
    <n v="4"/>
    <n v="17.100000000000001"/>
    <x v="0"/>
    <n v="68.400000000000006"/>
    <x v="885"/>
    <x v="17"/>
    <x v="0"/>
    <x v="1"/>
  </r>
  <r>
    <n v="100037"/>
    <x v="482"/>
    <s v="AD-3532-B"/>
    <x v="15"/>
    <x v="1"/>
    <x v="4"/>
    <x v="0"/>
    <n v="5"/>
    <n v="136.28"/>
    <x v="0"/>
    <n v="681.4"/>
    <x v="886"/>
    <x v="9"/>
    <x v="1"/>
    <x v="2"/>
  </r>
  <r>
    <n v="100669"/>
    <x v="610"/>
    <s v="AD-8720-A"/>
    <x v="17"/>
    <x v="2"/>
    <x v="4"/>
    <x v="1"/>
    <n v="1"/>
    <n v="36.090000000000003"/>
    <x v="1"/>
    <n v="28.87"/>
    <x v="887"/>
    <x v="3"/>
    <x v="1"/>
    <x v="7"/>
  </r>
  <r>
    <n v="100749"/>
    <x v="322"/>
    <s v="AD-6779-C"/>
    <x v="8"/>
    <x v="2"/>
    <x v="1"/>
    <x v="0"/>
    <n v="1"/>
    <n v="14.24"/>
    <x v="0"/>
    <n v="14.24"/>
    <x v="888"/>
    <x v="9"/>
    <x v="1"/>
    <x v="2"/>
  </r>
  <r>
    <n v="101180"/>
    <x v="38"/>
    <s v="AD-1997-A"/>
    <x v="18"/>
    <x v="1"/>
    <x v="4"/>
    <x v="0"/>
    <n v="3"/>
    <n v="94.73"/>
    <x v="3"/>
    <n v="269.98"/>
    <x v="889"/>
    <x v="23"/>
    <x v="1"/>
    <x v="4"/>
  </r>
  <r>
    <n v="100374"/>
    <x v="611"/>
    <s v="AD-7510-C"/>
    <x v="19"/>
    <x v="1"/>
    <x v="2"/>
    <x v="2"/>
    <n v="7"/>
    <n v="123.33"/>
    <x v="4"/>
    <n v="517.99"/>
    <x v="890"/>
    <x v="25"/>
    <x v="1"/>
    <x v="2"/>
  </r>
  <r>
    <n v="100469"/>
    <x v="175"/>
    <s v="AD-7358-D"/>
    <x v="9"/>
    <x v="2"/>
    <x v="4"/>
    <x v="0"/>
    <n v="3"/>
    <n v="22.6"/>
    <x v="1"/>
    <n v="54.24"/>
    <x v="891"/>
    <x v="15"/>
    <x v="0"/>
    <x v="4"/>
  </r>
  <r>
    <n v="100882"/>
    <x v="471"/>
    <s v="AD-8184-A"/>
    <x v="13"/>
    <x v="0"/>
    <x v="0"/>
    <x v="1"/>
    <n v="1"/>
    <n v="137.97999999999999"/>
    <x v="0"/>
    <n v="137.97999999999999"/>
    <x v="892"/>
    <x v="0"/>
    <x v="1"/>
    <x v="1"/>
  </r>
  <r>
    <n v="101181"/>
    <x v="610"/>
    <s v="AD-9115-B"/>
    <x v="17"/>
    <x v="2"/>
    <x v="0"/>
    <x v="0"/>
    <n v="1"/>
    <n v="36.369999999999997"/>
    <x v="0"/>
    <n v="36.369999999999997"/>
    <x v="893"/>
    <x v="19"/>
    <x v="1"/>
    <x v="3"/>
  </r>
  <r>
    <n v="100687"/>
    <x v="612"/>
    <s v="AD-9548-D"/>
    <x v="19"/>
    <x v="1"/>
    <x v="0"/>
    <x v="1"/>
    <n v="1"/>
    <n v="138.72999999999999"/>
    <x v="0"/>
    <n v="138.72999999999999"/>
    <x v="894"/>
    <x v="17"/>
    <x v="1"/>
    <x v="2"/>
  </r>
  <r>
    <n v="100032"/>
    <x v="613"/>
    <s v="AD-5905-A"/>
    <x v="0"/>
    <x v="0"/>
    <x v="2"/>
    <x v="1"/>
    <n v="5"/>
    <n v="58.87"/>
    <x v="1"/>
    <n v="235.48"/>
    <x v="895"/>
    <x v="0"/>
    <x v="0"/>
    <x v="7"/>
  </r>
  <r>
    <n v="101010"/>
    <x v="614"/>
    <s v="AD-3879-C"/>
    <x v="12"/>
    <x v="0"/>
    <x v="4"/>
    <x v="3"/>
    <n v="3"/>
    <n v="124.2"/>
    <x v="0"/>
    <n v="372.6"/>
    <x v="896"/>
    <x v="3"/>
    <x v="0"/>
    <x v="1"/>
  </r>
  <r>
    <n v="101175"/>
    <x v="596"/>
    <s v="AD-9942-B"/>
    <x v="4"/>
    <x v="2"/>
    <x v="1"/>
    <x v="0"/>
    <n v="3"/>
    <n v="60.68"/>
    <x v="0"/>
    <n v="182.04"/>
    <x v="897"/>
    <x v="21"/>
    <x v="0"/>
    <x v="5"/>
  </r>
  <r>
    <n v="100194"/>
    <x v="252"/>
    <s v="AD-1496-D"/>
    <x v="15"/>
    <x v="1"/>
    <x v="0"/>
    <x v="0"/>
    <n v="5"/>
    <n v="137.62"/>
    <x v="0"/>
    <n v="688.1"/>
    <x v="898"/>
    <x v="3"/>
    <x v="1"/>
    <x v="2"/>
  </r>
  <r>
    <n v="101105"/>
    <x v="615"/>
    <s v="AD-7884-B"/>
    <x v="14"/>
    <x v="1"/>
    <x v="0"/>
    <x v="1"/>
    <n v="4"/>
    <n v="193.24"/>
    <x v="0"/>
    <n v="772.96"/>
    <x v="899"/>
    <x v="28"/>
    <x v="1"/>
    <x v="6"/>
  </r>
  <r>
    <n v="101113"/>
    <x v="616"/>
    <s v="AD-4957-A"/>
    <x v="5"/>
    <x v="0"/>
    <x v="4"/>
    <x v="1"/>
    <n v="4"/>
    <n v="57.04"/>
    <x v="0"/>
    <n v="228.16"/>
    <x v="900"/>
    <x v="32"/>
    <x v="1"/>
    <x v="2"/>
  </r>
  <r>
    <n v="101063"/>
    <x v="298"/>
    <s v="AD-7967-B"/>
    <x v="2"/>
    <x v="1"/>
    <x v="0"/>
    <x v="0"/>
    <n v="3"/>
    <n v="95.36"/>
    <x v="0"/>
    <n v="286.08"/>
    <x v="901"/>
    <x v="22"/>
    <x v="1"/>
    <x v="3"/>
  </r>
  <r>
    <n v="100503"/>
    <x v="608"/>
    <s v="AD-9041-B"/>
    <x v="9"/>
    <x v="2"/>
    <x v="1"/>
    <x v="2"/>
    <n v="4"/>
    <n v="23.08"/>
    <x v="3"/>
    <n v="87.7"/>
    <x v="902"/>
    <x v="27"/>
    <x v="0"/>
    <x v="0"/>
  </r>
  <r>
    <n v="100915"/>
    <x v="617"/>
    <s v="AD-6342-A"/>
    <x v="5"/>
    <x v="0"/>
    <x v="0"/>
    <x v="0"/>
    <n v="2"/>
    <n v="67.34"/>
    <x v="3"/>
    <n v="127.95"/>
    <x v="903"/>
    <x v="12"/>
    <x v="0"/>
    <x v="0"/>
  </r>
  <r>
    <n v="100976"/>
    <x v="618"/>
    <s v="AD-8311-A"/>
    <x v="2"/>
    <x v="1"/>
    <x v="0"/>
    <x v="1"/>
    <n v="4"/>
    <n v="93.67"/>
    <x v="3"/>
    <n v="355.95"/>
    <x v="904"/>
    <x v="4"/>
    <x v="0"/>
    <x v="3"/>
  </r>
  <r>
    <n v="101182"/>
    <x v="426"/>
    <s v="AD-4288-A"/>
    <x v="14"/>
    <x v="1"/>
    <x v="1"/>
    <x v="3"/>
    <n v="1"/>
    <n v="235.5"/>
    <x v="3"/>
    <n v="223.72"/>
    <x v="905"/>
    <x v="17"/>
    <x v="1"/>
    <x v="5"/>
  </r>
  <r>
    <n v="101087"/>
    <x v="619"/>
    <s v="AD-8331-B"/>
    <x v="16"/>
    <x v="1"/>
    <x v="0"/>
    <x v="1"/>
    <n v="4"/>
    <n v="28.91"/>
    <x v="0"/>
    <n v="115.64"/>
    <x v="906"/>
    <x v="4"/>
    <x v="1"/>
    <x v="4"/>
  </r>
  <r>
    <n v="100800"/>
    <x v="27"/>
    <s v="AD-3669-D"/>
    <x v="7"/>
    <x v="1"/>
    <x v="0"/>
    <x v="0"/>
    <n v="3"/>
    <n v="142.61000000000001"/>
    <x v="1"/>
    <n v="342.26"/>
    <x v="907"/>
    <x v="22"/>
    <x v="1"/>
    <x v="6"/>
  </r>
  <r>
    <n v="100579"/>
    <x v="63"/>
    <s v="AD-4016-C"/>
    <x v="17"/>
    <x v="2"/>
    <x v="1"/>
    <x v="1"/>
    <n v="3"/>
    <n v="41.83"/>
    <x v="0"/>
    <n v="125.49"/>
    <x v="64"/>
    <x v="7"/>
    <x v="0"/>
    <x v="1"/>
  </r>
  <r>
    <n v="100160"/>
    <x v="620"/>
    <s v="AD-4833-B"/>
    <x v="11"/>
    <x v="0"/>
    <x v="4"/>
    <x v="0"/>
    <n v="2"/>
    <n v="31.33"/>
    <x v="0"/>
    <n v="62.66"/>
    <x v="908"/>
    <x v="7"/>
    <x v="1"/>
    <x v="5"/>
  </r>
  <r>
    <n v="100680"/>
    <x v="621"/>
    <s v="AD-1709-A"/>
    <x v="15"/>
    <x v="1"/>
    <x v="1"/>
    <x v="0"/>
    <n v="6"/>
    <n v="140.27000000000001"/>
    <x v="2"/>
    <n v="757.46"/>
    <x v="909"/>
    <x v="8"/>
    <x v="1"/>
    <x v="5"/>
  </r>
  <r>
    <n v="101197"/>
    <x v="479"/>
    <s v="AD-2409-A"/>
    <x v="0"/>
    <x v="0"/>
    <x v="0"/>
    <x v="0"/>
    <n v="4"/>
    <n v="48.9"/>
    <x v="1"/>
    <n v="156.47999999999999"/>
    <x v="910"/>
    <x v="22"/>
    <x v="1"/>
    <x v="6"/>
  </r>
  <r>
    <n v="100162"/>
    <x v="622"/>
    <s v="AD-5096-A"/>
    <x v="12"/>
    <x v="0"/>
    <x v="1"/>
    <x v="0"/>
    <n v="3"/>
    <n v="142.27000000000001"/>
    <x v="0"/>
    <n v="426.81"/>
    <x v="911"/>
    <x v="7"/>
    <x v="1"/>
    <x v="3"/>
  </r>
  <r>
    <n v="100821"/>
    <x v="117"/>
    <s v="AD-3654-B"/>
    <x v="12"/>
    <x v="0"/>
    <x v="2"/>
    <x v="1"/>
    <n v="2"/>
    <n v="135.47"/>
    <x v="0"/>
    <n v="270.94"/>
    <x v="912"/>
    <x v="2"/>
    <x v="0"/>
    <x v="5"/>
  </r>
  <r>
    <n v="100705"/>
    <x v="534"/>
    <s v="AD-3986-B"/>
    <x v="11"/>
    <x v="0"/>
    <x v="3"/>
    <x v="1"/>
    <n v="4"/>
    <n v="29.28"/>
    <x v="3"/>
    <n v="111.26"/>
    <x v="913"/>
    <x v="15"/>
    <x v="1"/>
    <x v="0"/>
  </r>
  <r>
    <n v="101008"/>
    <x v="623"/>
    <s v="AD-9984-D"/>
    <x v="4"/>
    <x v="2"/>
    <x v="3"/>
    <x v="0"/>
    <n v="4"/>
    <n v="66.48"/>
    <x v="3"/>
    <n v="252.62"/>
    <x v="914"/>
    <x v="22"/>
    <x v="1"/>
    <x v="1"/>
  </r>
  <r>
    <n v="100877"/>
    <x v="624"/>
    <s v="AD-1849-C"/>
    <x v="8"/>
    <x v="2"/>
    <x v="0"/>
    <x v="2"/>
    <n v="2"/>
    <n v="13.07"/>
    <x v="0"/>
    <n v="26.14"/>
    <x v="915"/>
    <x v="20"/>
    <x v="1"/>
    <x v="2"/>
  </r>
  <r>
    <n v="100895"/>
    <x v="439"/>
    <s v="AD-8215-B"/>
    <x v="6"/>
    <x v="1"/>
    <x v="4"/>
    <x v="0"/>
    <n v="3"/>
    <n v="175.6"/>
    <x v="3"/>
    <n v="500.46"/>
    <x v="916"/>
    <x v="7"/>
    <x v="1"/>
    <x v="0"/>
  </r>
  <r>
    <n v="100913"/>
    <x v="580"/>
    <s v="AD-8187-D"/>
    <x v="2"/>
    <x v="1"/>
    <x v="4"/>
    <x v="1"/>
    <n v="2"/>
    <n v="99.67"/>
    <x v="3"/>
    <n v="189.37"/>
    <x v="917"/>
    <x v="25"/>
    <x v="0"/>
    <x v="6"/>
  </r>
  <r>
    <n v="101198"/>
    <x v="404"/>
    <s v="AD-9955-A"/>
    <x v="18"/>
    <x v="1"/>
    <x v="0"/>
    <x v="2"/>
    <n v="3"/>
    <n v="93.55"/>
    <x v="1"/>
    <n v="224.52"/>
    <x v="918"/>
    <x v="8"/>
    <x v="1"/>
    <x v="2"/>
  </r>
  <r>
    <n v="100152"/>
    <x v="625"/>
    <s v="AD-7108-C"/>
    <x v="5"/>
    <x v="0"/>
    <x v="3"/>
    <x v="1"/>
    <n v="1"/>
    <n v="77.03"/>
    <x v="0"/>
    <n v="77.03"/>
    <x v="919"/>
    <x v="8"/>
    <x v="0"/>
    <x v="4"/>
  </r>
  <r>
    <n v="100978"/>
    <x v="200"/>
    <s v="AD-5220-D"/>
    <x v="6"/>
    <x v="1"/>
    <x v="2"/>
    <x v="2"/>
    <n v="4"/>
    <n v="176.76"/>
    <x v="1"/>
    <n v="565.63"/>
    <x v="920"/>
    <x v="2"/>
    <x v="0"/>
    <x v="6"/>
  </r>
  <r>
    <n v="101002"/>
    <x v="513"/>
    <s v="AD-9510-C"/>
    <x v="8"/>
    <x v="2"/>
    <x v="3"/>
    <x v="1"/>
    <n v="2"/>
    <n v="16.53"/>
    <x v="1"/>
    <n v="26.45"/>
    <x v="921"/>
    <x v="7"/>
    <x v="1"/>
    <x v="7"/>
  </r>
  <r>
    <n v="100509"/>
    <x v="626"/>
    <s v="AD-8749-A"/>
    <x v="5"/>
    <x v="0"/>
    <x v="2"/>
    <x v="0"/>
    <n v="4"/>
    <n v="67.17"/>
    <x v="0"/>
    <n v="268.68"/>
    <x v="922"/>
    <x v="3"/>
    <x v="0"/>
    <x v="3"/>
  </r>
  <r>
    <n v="100111"/>
    <x v="232"/>
    <s v="AD-3695-C"/>
    <x v="14"/>
    <x v="1"/>
    <x v="2"/>
    <x v="0"/>
    <n v="3"/>
    <n v="249.51"/>
    <x v="0"/>
    <n v="748.53"/>
    <x v="923"/>
    <x v="3"/>
    <x v="1"/>
    <x v="0"/>
  </r>
  <r>
    <n v="100226"/>
    <x v="627"/>
    <s v="AD-2936-D"/>
    <x v="17"/>
    <x v="2"/>
    <x v="4"/>
    <x v="1"/>
    <n v="3"/>
    <n v="36.9"/>
    <x v="0"/>
    <n v="110.7"/>
    <x v="924"/>
    <x v="26"/>
    <x v="0"/>
    <x v="7"/>
  </r>
  <r>
    <n v="100985"/>
    <x v="628"/>
    <s v="AD-6245-C"/>
    <x v="19"/>
    <x v="1"/>
    <x v="0"/>
    <x v="2"/>
    <n v="5"/>
    <n v="121.9"/>
    <x v="3"/>
    <n v="579.02"/>
    <x v="925"/>
    <x v="25"/>
    <x v="0"/>
    <x v="7"/>
  </r>
  <r>
    <n v="100851"/>
    <x v="520"/>
    <s v="AD-7344-B"/>
    <x v="3"/>
    <x v="2"/>
    <x v="4"/>
    <x v="1"/>
    <n v="3"/>
    <n v="18.13"/>
    <x v="0"/>
    <n v="54.39"/>
    <x v="926"/>
    <x v="9"/>
    <x v="1"/>
    <x v="2"/>
  </r>
  <r>
    <n v="100103"/>
    <x v="629"/>
    <s v="AD-3868-A"/>
    <x v="4"/>
    <x v="2"/>
    <x v="1"/>
    <x v="1"/>
    <n v="3"/>
    <n v="55.66"/>
    <x v="2"/>
    <n v="150.28"/>
    <x v="927"/>
    <x v="26"/>
    <x v="0"/>
    <x v="3"/>
  </r>
  <r>
    <n v="100421"/>
    <x v="75"/>
    <s v="AD-3571-D"/>
    <x v="12"/>
    <x v="0"/>
    <x v="0"/>
    <x v="2"/>
    <n v="3"/>
    <n v="122.31"/>
    <x v="2"/>
    <n v="330.24"/>
    <x v="928"/>
    <x v="23"/>
    <x v="0"/>
    <x v="7"/>
  </r>
  <r>
    <n v="100419"/>
    <x v="83"/>
    <s v="AD-1202-B"/>
    <x v="9"/>
    <x v="2"/>
    <x v="1"/>
    <x v="0"/>
    <n v="3"/>
    <n v="21.88"/>
    <x v="2"/>
    <n v="59.08"/>
    <x v="929"/>
    <x v="26"/>
    <x v="1"/>
    <x v="4"/>
  </r>
  <r>
    <n v="100624"/>
    <x v="630"/>
    <s v="AD-6711-B"/>
    <x v="6"/>
    <x v="1"/>
    <x v="4"/>
    <x v="1"/>
    <n v="1"/>
    <n v="190.17"/>
    <x v="2"/>
    <n v="171.15"/>
    <x v="930"/>
    <x v="7"/>
    <x v="0"/>
    <x v="0"/>
  </r>
  <r>
    <n v="100586"/>
    <x v="90"/>
    <s v="AD-1643-D"/>
    <x v="18"/>
    <x v="1"/>
    <x v="0"/>
    <x v="0"/>
    <n v="3"/>
    <n v="85.28"/>
    <x v="3"/>
    <n v="243.05"/>
    <x v="931"/>
    <x v="27"/>
    <x v="2"/>
    <x v="2"/>
  </r>
  <r>
    <n v="101060"/>
    <x v="597"/>
    <s v="AD-1393-B"/>
    <x v="0"/>
    <x v="0"/>
    <x v="2"/>
    <x v="0"/>
    <n v="3"/>
    <n v="58.05"/>
    <x v="2"/>
    <n v="156.72999999999999"/>
    <x v="932"/>
    <x v="3"/>
    <x v="1"/>
    <x v="6"/>
  </r>
  <r>
    <n v="100919"/>
    <x v="409"/>
    <s v="AD-7039-A"/>
    <x v="12"/>
    <x v="0"/>
    <x v="4"/>
    <x v="1"/>
    <n v="2"/>
    <n v="123.75"/>
    <x v="3"/>
    <n v="235.12"/>
    <x v="933"/>
    <x v="2"/>
    <x v="1"/>
    <x v="7"/>
  </r>
  <r>
    <n v="100672"/>
    <x v="360"/>
    <s v="AD-6268-B"/>
    <x v="13"/>
    <x v="0"/>
    <x v="3"/>
    <x v="1"/>
    <n v="6"/>
    <n v="132.09"/>
    <x v="0"/>
    <n v="792.54"/>
    <x v="934"/>
    <x v="4"/>
    <x v="1"/>
    <x v="3"/>
  </r>
  <r>
    <n v="100119"/>
    <x v="631"/>
    <s v="AD-1992-D"/>
    <x v="5"/>
    <x v="0"/>
    <x v="4"/>
    <x v="1"/>
    <n v="5"/>
    <n v="77.53"/>
    <x v="0"/>
    <n v="387.65"/>
    <x v="935"/>
    <x v="2"/>
    <x v="1"/>
    <x v="4"/>
  </r>
  <r>
    <n v="100053"/>
    <x v="632"/>
    <s v="AD-5543-D"/>
    <x v="8"/>
    <x v="2"/>
    <x v="4"/>
    <x v="2"/>
    <n v="4"/>
    <n v="15.09"/>
    <x v="3"/>
    <n v="57.34"/>
    <x v="936"/>
    <x v="21"/>
    <x v="1"/>
    <x v="6"/>
  </r>
  <r>
    <n v="100151"/>
    <x v="361"/>
    <s v="AD-9266-B"/>
    <x v="14"/>
    <x v="1"/>
    <x v="1"/>
    <x v="2"/>
    <n v="1"/>
    <n v="228.82"/>
    <x v="0"/>
    <n v="228.82"/>
    <x v="937"/>
    <x v="18"/>
    <x v="0"/>
    <x v="1"/>
  </r>
  <r>
    <n v="100403"/>
    <x v="68"/>
    <s v="AD-3736-A"/>
    <x v="5"/>
    <x v="0"/>
    <x v="2"/>
    <x v="0"/>
    <n v="3"/>
    <n v="62.43"/>
    <x v="1"/>
    <n v="149.83000000000001"/>
    <x v="938"/>
    <x v="21"/>
    <x v="1"/>
    <x v="0"/>
  </r>
  <r>
    <n v="101188"/>
    <x v="161"/>
    <s v="AD-1558-D"/>
    <x v="4"/>
    <x v="2"/>
    <x v="4"/>
    <x v="0"/>
    <n v="1"/>
    <n v="53.84"/>
    <x v="2"/>
    <n v="48.46"/>
    <x v="939"/>
    <x v="5"/>
    <x v="1"/>
    <x v="0"/>
  </r>
  <r>
    <n v="100207"/>
    <x v="548"/>
    <s v="AD-6040-A"/>
    <x v="17"/>
    <x v="2"/>
    <x v="0"/>
    <x v="0"/>
    <n v="1"/>
    <n v="38.24"/>
    <x v="3"/>
    <n v="36.33"/>
    <x v="940"/>
    <x v="3"/>
    <x v="0"/>
    <x v="2"/>
  </r>
  <r>
    <n v="101134"/>
    <x v="633"/>
    <s v="AD-6268-B"/>
    <x v="13"/>
    <x v="0"/>
    <x v="1"/>
    <x v="0"/>
    <n v="3"/>
    <n v="145.36000000000001"/>
    <x v="2"/>
    <n v="392.47"/>
    <x v="941"/>
    <x v="1"/>
    <x v="1"/>
    <x v="5"/>
  </r>
  <r>
    <n v="100658"/>
    <x v="493"/>
    <s v="AD-3923-D"/>
    <x v="1"/>
    <x v="0"/>
    <x v="4"/>
    <x v="3"/>
    <n v="2"/>
    <n v="25.8"/>
    <x v="1"/>
    <n v="41.28"/>
    <x v="942"/>
    <x v="31"/>
    <x v="1"/>
    <x v="2"/>
  </r>
  <r>
    <n v="101096"/>
    <x v="634"/>
    <s v="AD-8096-B"/>
    <x v="8"/>
    <x v="2"/>
    <x v="1"/>
    <x v="0"/>
    <n v="2"/>
    <n v="12.76"/>
    <x v="0"/>
    <n v="25.52"/>
    <x v="943"/>
    <x v="23"/>
    <x v="0"/>
    <x v="2"/>
  </r>
  <r>
    <n v="100232"/>
    <x v="635"/>
    <s v="AD-6049-A"/>
    <x v="15"/>
    <x v="1"/>
    <x v="1"/>
    <x v="1"/>
    <n v="1"/>
    <n v="147.78"/>
    <x v="3"/>
    <n v="140.38999999999999"/>
    <x v="944"/>
    <x v="11"/>
    <x v="1"/>
    <x v="5"/>
  </r>
  <r>
    <n v="100008"/>
    <x v="393"/>
    <s v="AD-4483-D"/>
    <x v="15"/>
    <x v="1"/>
    <x v="1"/>
    <x v="0"/>
    <n v="2"/>
    <n v="152.62"/>
    <x v="0"/>
    <n v="305.24"/>
    <x v="945"/>
    <x v="15"/>
    <x v="0"/>
    <x v="4"/>
  </r>
  <r>
    <n v="100159"/>
    <x v="166"/>
    <s v="AD-8170-A"/>
    <x v="12"/>
    <x v="0"/>
    <x v="4"/>
    <x v="1"/>
    <n v="3"/>
    <n v="145.52000000000001"/>
    <x v="1"/>
    <n v="349.25"/>
    <x v="946"/>
    <x v="9"/>
    <x v="0"/>
    <x v="3"/>
  </r>
  <r>
    <n v="100036"/>
    <x v="500"/>
    <s v="AD-1685-C"/>
    <x v="14"/>
    <x v="1"/>
    <x v="2"/>
    <x v="1"/>
    <n v="4"/>
    <n v="223.77"/>
    <x v="0"/>
    <n v="895.08"/>
    <x v="947"/>
    <x v="3"/>
    <x v="1"/>
    <x v="3"/>
  </r>
  <r>
    <n v="100452"/>
    <x v="29"/>
    <s v="AD-8391-D"/>
    <x v="1"/>
    <x v="0"/>
    <x v="0"/>
    <x v="0"/>
    <n v="1"/>
    <n v="22.4"/>
    <x v="0"/>
    <n v="22.4"/>
    <x v="948"/>
    <x v="11"/>
    <x v="1"/>
    <x v="2"/>
  </r>
  <r>
    <n v="100651"/>
    <x v="359"/>
    <s v="AD-5466-C"/>
    <x v="10"/>
    <x v="2"/>
    <x v="4"/>
    <x v="2"/>
    <n v="5"/>
    <n v="45.43"/>
    <x v="0"/>
    <n v="227.15"/>
    <x v="949"/>
    <x v="16"/>
    <x v="0"/>
    <x v="2"/>
  </r>
  <r>
    <n v="100253"/>
    <x v="636"/>
    <s v="AD-4015-A"/>
    <x v="9"/>
    <x v="2"/>
    <x v="0"/>
    <x v="0"/>
    <n v="1"/>
    <n v="21.28"/>
    <x v="3"/>
    <n v="20.22"/>
    <x v="950"/>
    <x v="7"/>
    <x v="1"/>
    <x v="5"/>
  </r>
  <r>
    <n v="100303"/>
    <x v="637"/>
    <s v="AD-7046-D"/>
    <x v="2"/>
    <x v="1"/>
    <x v="2"/>
    <x v="0"/>
    <n v="4"/>
    <n v="110.28"/>
    <x v="0"/>
    <n v="441.12"/>
    <x v="951"/>
    <x v="3"/>
    <x v="1"/>
    <x v="0"/>
  </r>
  <r>
    <n v="100896"/>
    <x v="82"/>
    <s v="AD-3853-B"/>
    <x v="17"/>
    <x v="2"/>
    <x v="1"/>
    <x v="3"/>
    <n v="3"/>
    <n v="37.17"/>
    <x v="0"/>
    <n v="111.51"/>
    <x v="952"/>
    <x v="8"/>
    <x v="1"/>
    <x v="0"/>
  </r>
  <r>
    <n v="101048"/>
    <x v="399"/>
    <s v="AD-5430-A"/>
    <x v="8"/>
    <x v="2"/>
    <x v="4"/>
    <x v="0"/>
    <n v="2"/>
    <n v="15.14"/>
    <x v="1"/>
    <n v="24.22"/>
    <x v="953"/>
    <x v="27"/>
    <x v="0"/>
    <x v="3"/>
  </r>
  <r>
    <n v="100880"/>
    <x v="312"/>
    <s v="AD-1456-D"/>
    <x v="2"/>
    <x v="1"/>
    <x v="4"/>
    <x v="0"/>
    <n v="5"/>
    <n v="99.39"/>
    <x v="0"/>
    <n v="496.95"/>
    <x v="954"/>
    <x v="8"/>
    <x v="1"/>
    <x v="1"/>
  </r>
  <r>
    <n v="100571"/>
    <x v="638"/>
    <s v="AD-7332-B"/>
    <x v="1"/>
    <x v="0"/>
    <x v="2"/>
    <x v="0"/>
    <n v="2"/>
    <n v="24.21"/>
    <x v="0"/>
    <n v="48.42"/>
    <x v="955"/>
    <x v="9"/>
    <x v="1"/>
    <x v="0"/>
  </r>
  <r>
    <n v="100623"/>
    <x v="326"/>
    <s v="AD-6320-D"/>
    <x v="19"/>
    <x v="1"/>
    <x v="1"/>
    <x v="0"/>
    <n v="3"/>
    <n v="144.21"/>
    <x v="4"/>
    <n v="259.58"/>
    <x v="956"/>
    <x v="29"/>
    <x v="0"/>
    <x v="4"/>
  </r>
  <r>
    <n v="101144"/>
    <x v="639"/>
    <s v="AD-8320-A"/>
    <x v="14"/>
    <x v="1"/>
    <x v="4"/>
    <x v="0"/>
    <n v="3"/>
    <n v="228.98"/>
    <x v="0"/>
    <n v="686.94"/>
    <x v="957"/>
    <x v="2"/>
    <x v="1"/>
    <x v="2"/>
  </r>
  <r>
    <n v="101030"/>
    <x v="529"/>
    <s v="AD-4874-A"/>
    <x v="18"/>
    <x v="1"/>
    <x v="0"/>
    <x v="0"/>
    <n v="5"/>
    <n v="86.12"/>
    <x v="0"/>
    <n v="430.6"/>
    <x v="958"/>
    <x v="20"/>
    <x v="1"/>
    <x v="7"/>
  </r>
  <r>
    <n v="101145"/>
    <x v="466"/>
    <s v="AD-4700-A"/>
    <x v="10"/>
    <x v="2"/>
    <x v="1"/>
    <x v="1"/>
    <n v="3"/>
    <n v="42.38"/>
    <x v="1"/>
    <n v="101.71"/>
    <x v="959"/>
    <x v="8"/>
    <x v="1"/>
    <x v="5"/>
  </r>
  <r>
    <n v="100262"/>
    <x v="304"/>
    <s v="AD-5903-B"/>
    <x v="16"/>
    <x v="1"/>
    <x v="0"/>
    <x v="1"/>
    <n v="5"/>
    <n v="41.04"/>
    <x v="0"/>
    <n v="205.2"/>
    <x v="960"/>
    <x v="20"/>
    <x v="1"/>
    <x v="1"/>
  </r>
  <r>
    <n v="100610"/>
    <x v="640"/>
    <s v="AD-4070-A"/>
    <x v="6"/>
    <x v="1"/>
    <x v="1"/>
    <x v="1"/>
    <n v="3"/>
    <n v="189.4"/>
    <x v="3"/>
    <n v="539.79"/>
    <x v="961"/>
    <x v="23"/>
    <x v="1"/>
    <x v="2"/>
  </r>
  <r>
    <n v="100297"/>
    <x v="641"/>
    <s v="AD-5877-A"/>
    <x v="15"/>
    <x v="1"/>
    <x v="1"/>
    <x v="0"/>
    <n v="2"/>
    <n v="156.19"/>
    <x v="0"/>
    <n v="312.38"/>
    <x v="962"/>
    <x v="9"/>
    <x v="1"/>
    <x v="6"/>
  </r>
  <r>
    <n v="100989"/>
    <x v="642"/>
    <s v="AD-5626-B"/>
    <x v="4"/>
    <x v="2"/>
    <x v="3"/>
    <x v="1"/>
    <n v="6"/>
    <n v="63.16"/>
    <x v="0"/>
    <n v="378.96"/>
    <x v="963"/>
    <x v="17"/>
    <x v="1"/>
    <x v="0"/>
  </r>
  <r>
    <n v="100414"/>
    <x v="76"/>
    <s v="AD-2898-A"/>
    <x v="7"/>
    <x v="1"/>
    <x v="2"/>
    <x v="0"/>
    <n v="4"/>
    <n v="162.08000000000001"/>
    <x v="0"/>
    <n v="648.32000000000005"/>
    <x v="964"/>
    <x v="3"/>
    <x v="0"/>
    <x v="2"/>
  </r>
  <r>
    <n v="100150"/>
    <x v="643"/>
    <s v="AD-6267-D"/>
    <x v="17"/>
    <x v="2"/>
    <x v="0"/>
    <x v="2"/>
    <n v="5"/>
    <n v="39.869999999999997"/>
    <x v="0"/>
    <n v="199.35"/>
    <x v="965"/>
    <x v="10"/>
    <x v="1"/>
    <x v="6"/>
  </r>
  <r>
    <n v="100945"/>
    <x v="494"/>
    <s v="AD-1388-B"/>
    <x v="13"/>
    <x v="0"/>
    <x v="0"/>
    <x v="1"/>
    <n v="5"/>
    <n v="112.2"/>
    <x v="0"/>
    <n v="561"/>
    <x v="966"/>
    <x v="16"/>
    <x v="0"/>
    <x v="0"/>
  </r>
  <r>
    <n v="100472"/>
    <x v="126"/>
    <s v="AD-8207-B"/>
    <x v="11"/>
    <x v="0"/>
    <x v="1"/>
    <x v="1"/>
    <n v="3"/>
    <n v="29.45"/>
    <x v="3"/>
    <n v="83.93"/>
    <x v="967"/>
    <x v="8"/>
    <x v="1"/>
    <x v="3"/>
  </r>
  <r>
    <n v="100952"/>
    <x v="254"/>
    <s v="AD-5215-D"/>
    <x v="2"/>
    <x v="1"/>
    <x v="2"/>
    <x v="1"/>
    <n v="4"/>
    <n v="95.66"/>
    <x v="0"/>
    <n v="382.64"/>
    <x v="968"/>
    <x v="11"/>
    <x v="1"/>
    <x v="3"/>
  </r>
  <r>
    <n v="100987"/>
    <x v="48"/>
    <s v="AD-1861-B"/>
    <x v="12"/>
    <x v="0"/>
    <x v="0"/>
    <x v="0"/>
    <n v="4"/>
    <n v="148.11000000000001"/>
    <x v="2"/>
    <n v="533.20000000000005"/>
    <x v="969"/>
    <x v="13"/>
    <x v="0"/>
    <x v="6"/>
  </r>
  <r>
    <n v="100778"/>
    <x v="637"/>
    <s v="AD-5616-B"/>
    <x v="9"/>
    <x v="2"/>
    <x v="4"/>
    <x v="0"/>
    <n v="3"/>
    <n v="21.53"/>
    <x v="0"/>
    <n v="64.59"/>
    <x v="230"/>
    <x v="18"/>
    <x v="0"/>
    <x v="4"/>
  </r>
  <r>
    <n v="100640"/>
    <x v="273"/>
    <s v="AD-8617-A"/>
    <x v="17"/>
    <x v="2"/>
    <x v="0"/>
    <x v="0"/>
    <n v="4"/>
    <n v="38.24"/>
    <x v="3"/>
    <n v="145.31"/>
    <x v="970"/>
    <x v="9"/>
    <x v="0"/>
    <x v="0"/>
  </r>
  <r>
    <n v="101189"/>
    <x v="644"/>
    <s v="AD-6861-B"/>
    <x v="11"/>
    <x v="0"/>
    <x v="1"/>
    <x v="1"/>
    <n v="3"/>
    <n v="30.2"/>
    <x v="0"/>
    <n v="90.6"/>
    <x v="971"/>
    <x v="29"/>
    <x v="1"/>
    <x v="3"/>
  </r>
  <r>
    <n v="101142"/>
    <x v="364"/>
    <s v="AD-1860-C"/>
    <x v="4"/>
    <x v="2"/>
    <x v="4"/>
    <x v="1"/>
    <n v="3"/>
    <n v="63.38"/>
    <x v="1"/>
    <n v="152.11000000000001"/>
    <x v="972"/>
    <x v="21"/>
    <x v="0"/>
    <x v="7"/>
  </r>
  <r>
    <n v="100550"/>
    <x v="645"/>
    <s v="AD-2705-B"/>
    <x v="18"/>
    <x v="1"/>
    <x v="0"/>
    <x v="1"/>
    <n v="3"/>
    <n v="87.2"/>
    <x v="0"/>
    <n v="261.60000000000002"/>
    <x v="973"/>
    <x v="16"/>
    <x v="0"/>
    <x v="2"/>
  </r>
  <r>
    <n v="100639"/>
    <x v="429"/>
    <s v="AD-8917-C"/>
    <x v="10"/>
    <x v="2"/>
    <x v="2"/>
    <x v="1"/>
    <n v="1"/>
    <n v="48.04"/>
    <x v="4"/>
    <n v="28.82"/>
    <x v="974"/>
    <x v="25"/>
    <x v="1"/>
    <x v="7"/>
  </r>
  <r>
    <n v="100935"/>
    <x v="445"/>
    <s v="AD-4613-A"/>
    <x v="2"/>
    <x v="1"/>
    <x v="4"/>
    <x v="0"/>
    <n v="1"/>
    <n v="76.73"/>
    <x v="2"/>
    <n v="69.06"/>
    <x v="975"/>
    <x v="37"/>
    <x v="0"/>
    <x v="1"/>
  </r>
  <r>
    <n v="100928"/>
    <x v="646"/>
    <s v="AD-7244-C"/>
    <x v="3"/>
    <x v="2"/>
    <x v="4"/>
    <x v="0"/>
    <n v="3"/>
    <n v="18.350000000000001"/>
    <x v="1"/>
    <n v="44.04"/>
    <x v="976"/>
    <x v="28"/>
    <x v="1"/>
    <x v="5"/>
  </r>
  <r>
    <n v="100488"/>
    <x v="647"/>
    <s v="AD-3633-D"/>
    <x v="7"/>
    <x v="1"/>
    <x v="1"/>
    <x v="1"/>
    <n v="1"/>
    <n v="143.94"/>
    <x v="2"/>
    <n v="129.55000000000001"/>
    <x v="977"/>
    <x v="9"/>
    <x v="0"/>
    <x v="7"/>
  </r>
  <r>
    <n v="100819"/>
    <x v="648"/>
    <s v="AD-4149-D"/>
    <x v="19"/>
    <x v="1"/>
    <x v="1"/>
    <x v="1"/>
    <n v="2"/>
    <n v="140.96"/>
    <x v="0"/>
    <n v="281.92"/>
    <x v="978"/>
    <x v="4"/>
    <x v="1"/>
    <x v="0"/>
  </r>
  <r>
    <n v="100710"/>
    <x v="609"/>
    <s v="AD-1406-D"/>
    <x v="18"/>
    <x v="1"/>
    <x v="2"/>
    <x v="0"/>
    <n v="2"/>
    <n v="75.56"/>
    <x v="0"/>
    <n v="151.12"/>
    <x v="979"/>
    <x v="23"/>
    <x v="0"/>
    <x v="0"/>
  </r>
  <r>
    <n v="101080"/>
    <x v="5"/>
    <s v="AD-5422-A"/>
    <x v="12"/>
    <x v="0"/>
    <x v="4"/>
    <x v="2"/>
    <n v="2"/>
    <n v="118.66"/>
    <x v="0"/>
    <n v="237.32"/>
    <x v="980"/>
    <x v="19"/>
    <x v="0"/>
    <x v="6"/>
  </r>
  <r>
    <n v="100147"/>
    <x v="490"/>
    <s v="AD-6179-B"/>
    <x v="17"/>
    <x v="2"/>
    <x v="1"/>
    <x v="3"/>
    <n v="2"/>
    <n v="41.99"/>
    <x v="0"/>
    <n v="83.98"/>
    <x v="981"/>
    <x v="2"/>
    <x v="0"/>
    <x v="4"/>
  </r>
  <r>
    <n v="100146"/>
    <x v="649"/>
    <s v="AD-3902-D"/>
    <x v="18"/>
    <x v="1"/>
    <x v="4"/>
    <x v="1"/>
    <n v="3"/>
    <n v="77.599999999999994"/>
    <x v="2"/>
    <n v="209.52"/>
    <x v="982"/>
    <x v="5"/>
    <x v="0"/>
    <x v="1"/>
  </r>
  <r>
    <n v="101174"/>
    <x v="650"/>
    <s v="AD-4268-C"/>
    <x v="0"/>
    <x v="0"/>
    <x v="4"/>
    <x v="0"/>
    <n v="2"/>
    <n v="53.3"/>
    <x v="0"/>
    <n v="106.6"/>
    <x v="983"/>
    <x v="4"/>
    <x v="0"/>
    <x v="3"/>
  </r>
  <r>
    <n v="100962"/>
    <x v="651"/>
    <s v="AD-6047-A"/>
    <x v="17"/>
    <x v="2"/>
    <x v="1"/>
    <x v="0"/>
    <n v="5"/>
    <n v="38.92"/>
    <x v="0"/>
    <n v="194.6"/>
    <x v="984"/>
    <x v="8"/>
    <x v="0"/>
    <x v="2"/>
  </r>
  <r>
    <n v="100345"/>
    <x v="101"/>
    <s v="AD-1567-B"/>
    <x v="4"/>
    <x v="2"/>
    <x v="4"/>
    <x v="0"/>
    <n v="1"/>
    <n v="57.64"/>
    <x v="1"/>
    <n v="46.11"/>
    <x v="985"/>
    <x v="19"/>
    <x v="1"/>
    <x v="3"/>
  </r>
  <r>
    <n v="100402"/>
    <x v="403"/>
    <s v="AD-1293-A"/>
    <x v="8"/>
    <x v="2"/>
    <x v="1"/>
    <x v="0"/>
    <n v="2"/>
    <n v="12.41"/>
    <x v="1"/>
    <n v="19.86"/>
    <x v="986"/>
    <x v="17"/>
    <x v="1"/>
    <x v="6"/>
  </r>
  <r>
    <n v="100931"/>
    <x v="397"/>
    <s v="AD-3759-A"/>
    <x v="7"/>
    <x v="1"/>
    <x v="4"/>
    <x v="0"/>
    <n v="4"/>
    <n v="174.33"/>
    <x v="1"/>
    <n v="557.86"/>
    <x v="987"/>
    <x v="16"/>
    <x v="1"/>
    <x v="2"/>
  </r>
  <r>
    <n v="100954"/>
    <x v="111"/>
    <s v="AD-7812-D"/>
    <x v="16"/>
    <x v="1"/>
    <x v="2"/>
    <x v="1"/>
    <n v="2"/>
    <n v="33.6"/>
    <x v="2"/>
    <n v="60.48"/>
    <x v="988"/>
    <x v="4"/>
    <x v="1"/>
    <x v="2"/>
  </r>
  <r>
    <n v="101124"/>
    <x v="234"/>
    <s v="AD-1515-A"/>
    <x v="13"/>
    <x v="0"/>
    <x v="1"/>
    <x v="0"/>
    <n v="4"/>
    <n v="122.95"/>
    <x v="0"/>
    <n v="491.8"/>
    <x v="989"/>
    <x v="10"/>
    <x v="1"/>
    <x v="3"/>
  </r>
  <r>
    <n v="100659"/>
    <x v="331"/>
    <s v="AD-5243-A"/>
    <x v="14"/>
    <x v="1"/>
    <x v="1"/>
    <x v="1"/>
    <n v="3"/>
    <n v="199.43"/>
    <x v="0"/>
    <n v="598.29"/>
    <x v="990"/>
    <x v="29"/>
    <x v="1"/>
    <x v="5"/>
  </r>
  <r>
    <n v="100463"/>
    <x v="479"/>
    <s v="AD-3879-A"/>
    <x v="13"/>
    <x v="0"/>
    <x v="1"/>
    <x v="0"/>
    <n v="3"/>
    <n v="117.99"/>
    <x v="0"/>
    <n v="353.97"/>
    <x v="991"/>
    <x v="7"/>
    <x v="1"/>
    <x v="1"/>
  </r>
  <r>
    <n v="100186"/>
    <x v="236"/>
    <s v="AD-6692-A"/>
    <x v="2"/>
    <x v="1"/>
    <x v="2"/>
    <x v="0"/>
    <n v="4"/>
    <n v="82.96"/>
    <x v="3"/>
    <n v="315.25"/>
    <x v="992"/>
    <x v="23"/>
    <x v="1"/>
    <x v="4"/>
  </r>
  <r>
    <n v="100608"/>
    <x v="652"/>
    <s v="AD-1917-C"/>
    <x v="3"/>
    <x v="2"/>
    <x v="1"/>
    <x v="0"/>
    <n v="2"/>
    <n v="18.899999999999999"/>
    <x v="0"/>
    <n v="37.799999999999997"/>
    <x v="993"/>
    <x v="23"/>
    <x v="0"/>
    <x v="2"/>
  </r>
  <r>
    <n v="100143"/>
    <x v="653"/>
    <s v="AD-6928-A"/>
    <x v="18"/>
    <x v="1"/>
    <x v="3"/>
    <x v="0"/>
    <n v="4"/>
    <n v="102.9"/>
    <x v="3"/>
    <n v="391.02"/>
    <x v="994"/>
    <x v="3"/>
    <x v="0"/>
    <x v="5"/>
  </r>
  <r>
    <n v="100751"/>
    <x v="654"/>
    <s v="AD-4844-C"/>
    <x v="4"/>
    <x v="2"/>
    <x v="1"/>
    <x v="0"/>
    <n v="1"/>
    <n v="60.95"/>
    <x v="3"/>
    <n v="57.9"/>
    <x v="995"/>
    <x v="27"/>
    <x v="0"/>
    <x v="6"/>
  </r>
  <r>
    <n v="100981"/>
    <x v="249"/>
    <s v="AD-2902-C"/>
    <x v="18"/>
    <x v="1"/>
    <x v="4"/>
    <x v="0"/>
    <n v="4"/>
    <n v="82.89"/>
    <x v="3"/>
    <n v="314.98"/>
    <x v="996"/>
    <x v="27"/>
    <x v="0"/>
    <x v="6"/>
  </r>
  <r>
    <n v="100197"/>
    <x v="655"/>
    <s v="AD-4960-D"/>
    <x v="11"/>
    <x v="0"/>
    <x v="4"/>
    <x v="0"/>
    <n v="4"/>
    <n v="32.51"/>
    <x v="0"/>
    <n v="130.04"/>
    <x v="997"/>
    <x v="17"/>
    <x v="0"/>
    <x v="4"/>
  </r>
  <r>
    <n v="100883"/>
    <x v="502"/>
    <s v="AD-2065-B"/>
    <x v="3"/>
    <x v="2"/>
    <x v="4"/>
    <x v="0"/>
    <n v="3"/>
    <n v="18.16"/>
    <x v="0"/>
    <n v="54.48"/>
    <x v="998"/>
    <x v="33"/>
    <x v="1"/>
    <x v="4"/>
  </r>
  <r>
    <n v="100279"/>
    <x v="58"/>
    <s v="AD-6890-A"/>
    <x v="12"/>
    <x v="0"/>
    <x v="2"/>
    <x v="2"/>
    <n v="2"/>
    <n v="133.16999999999999"/>
    <x v="0"/>
    <n v="266.33999999999997"/>
    <x v="999"/>
    <x v="0"/>
    <x v="1"/>
    <x v="7"/>
  </r>
  <r>
    <n v="100293"/>
    <x v="130"/>
    <s v="AD-8939-B"/>
    <x v="14"/>
    <x v="1"/>
    <x v="2"/>
    <x v="1"/>
    <n v="4"/>
    <n v="225.31"/>
    <x v="1"/>
    <n v="720.99"/>
    <x v="1000"/>
    <x v="27"/>
    <x v="0"/>
    <x v="7"/>
  </r>
  <r>
    <n v="101088"/>
    <x v="617"/>
    <s v="AD-4917-B"/>
    <x v="0"/>
    <x v="0"/>
    <x v="2"/>
    <x v="0"/>
    <n v="2"/>
    <n v="56.29"/>
    <x v="3"/>
    <n v="106.95"/>
    <x v="1001"/>
    <x v="23"/>
    <x v="0"/>
    <x v="2"/>
  </r>
  <r>
    <n v="100400"/>
    <x v="656"/>
    <s v="AD-3595-D"/>
    <x v="7"/>
    <x v="1"/>
    <x v="4"/>
    <x v="1"/>
    <n v="1"/>
    <n v="165.61"/>
    <x v="3"/>
    <n v="157.33000000000001"/>
    <x v="1002"/>
    <x v="27"/>
    <x v="1"/>
    <x v="3"/>
  </r>
  <r>
    <n v="100122"/>
    <x v="30"/>
    <s v="AD-9850-C"/>
    <x v="14"/>
    <x v="1"/>
    <x v="0"/>
    <x v="0"/>
    <n v="2"/>
    <n v="215.43"/>
    <x v="0"/>
    <n v="430.86"/>
    <x v="1003"/>
    <x v="16"/>
    <x v="2"/>
    <x v="3"/>
  </r>
  <r>
    <n v="100202"/>
    <x v="657"/>
    <s v="AD-6939-C"/>
    <x v="1"/>
    <x v="0"/>
    <x v="0"/>
    <x v="0"/>
    <n v="3"/>
    <n v="25.75"/>
    <x v="0"/>
    <n v="77.25"/>
    <x v="1004"/>
    <x v="18"/>
    <x v="1"/>
    <x v="6"/>
  </r>
  <r>
    <n v="100835"/>
    <x v="658"/>
    <s v="AD-9919-D"/>
    <x v="1"/>
    <x v="0"/>
    <x v="0"/>
    <x v="0"/>
    <n v="1"/>
    <n v="26.32"/>
    <x v="0"/>
    <n v="26.32"/>
    <x v="1005"/>
    <x v="24"/>
    <x v="1"/>
    <x v="6"/>
  </r>
  <r>
    <n v="100246"/>
    <x v="659"/>
    <s v="AD-7179-A"/>
    <x v="3"/>
    <x v="2"/>
    <x v="4"/>
    <x v="1"/>
    <n v="2"/>
    <n v="18.82"/>
    <x v="0"/>
    <n v="37.64"/>
    <x v="1006"/>
    <x v="20"/>
    <x v="1"/>
    <x v="0"/>
  </r>
  <r>
    <n v="101139"/>
    <x v="642"/>
    <s v="AD-6196-C"/>
    <x v="6"/>
    <x v="1"/>
    <x v="4"/>
    <x v="2"/>
    <n v="4"/>
    <n v="173.14"/>
    <x v="2"/>
    <n v="623.29999999999995"/>
    <x v="1007"/>
    <x v="19"/>
    <x v="0"/>
    <x v="0"/>
  </r>
  <r>
    <n v="100384"/>
    <x v="169"/>
    <s v="AD-4963-C"/>
    <x v="11"/>
    <x v="0"/>
    <x v="1"/>
    <x v="1"/>
    <n v="1"/>
    <n v="28.03"/>
    <x v="0"/>
    <n v="28.03"/>
    <x v="1008"/>
    <x v="19"/>
    <x v="1"/>
    <x v="7"/>
  </r>
  <r>
    <n v="100854"/>
    <x v="459"/>
    <s v="AD-9235-A"/>
    <x v="19"/>
    <x v="1"/>
    <x v="0"/>
    <x v="3"/>
    <n v="3"/>
    <n v="132.88999999999999"/>
    <x v="0"/>
    <n v="398.67"/>
    <x v="1009"/>
    <x v="23"/>
    <x v="1"/>
    <x v="5"/>
  </r>
  <r>
    <n v="100219"/>
    <x v="660"/>
    <s v="AD-4804-A"/>
    <x v="16"/>
    <x v="1"/>
    <x v="4"/>
    <x v="0"/>
    <n v="3"/>
    <n v="37.83"/>
    <x v="0"/>
    <n v="113.49"/>
    <x v="1010"/>
    <x v="11"/>
    <x v="1"/>
    <x v="1"/>
  </r>
  <r>
    <n v="100641"/>
    <x v="261"/>
    <s v="AD-9834-C"/>
    <x v="19"/>
    <x v="1"/>
    <x v="1"/>
    <x v="1"/>
    <n v="5"/>
    <n v="129.19999999999999"/>
    <x v="2"/>
    <n v="581.4"/>
    <x v="1011"/>
    <x v="21"/>
    <x v="0"/>
    <x v="1"/>
  </r>
  <r>
    <n v="100001"/>
    <x v="553"/>
    <s v="AD-4611-D"/>
    <x v="2"/>
    <x v="1"/>
    <x v="1"/>
    <x v="0"/>
    <n v="2"/>
    <n v="102.68"/>
    <x v="1"/>
    <n v="164.29"/>
    <x v="1012"/>
    <x v="9"/>
    <x v="1"/>
    <x v="2"/>
  </r>
  <r>
    <n v="100112"/>
    <x v="182"/>
    <s v="AD-2233-B"/>
    <x v="9"/>
    <x v="2"/>
    <x v="4"/>
    <x v="2"/>
    <n v="4"/>
    <n v="20.440000000000001"/>
    <x v="0"/>
    <n v="81.760000000000005"/>
    <x v="1013"/>
    <x v="2"/>
    <x v="0"/>
    <x v="5"/>
  </r>
  <r>
    <n v="100698"/>
    <x v="126"/>
    <s v="AD-8966-A"/>
    <x v="1"/>
    <x v="0"/>
    <x v="1"/>
    <x v="0"/>
    <n v="2"/>
    <n v="25.64"/>
    <x v="0"/>
    <n v="51.28"/>
    <x v="1014"/>
    <x v="16"/>
    <x v="1"/>
    <x v="5"/>
  </r>
  <r>
    <n v="100951"/>
    <x v="114"/>
    <s v="AD-1324-D"/>
    <x v="9"/>
    <x v="2"/>
    <x v="1"/>
    <x v="1"/>
    <n v="1"/>
    <n v="22.24"/>
    <x v="3"/>
    <n v="21.13"/>
    <x v="1015"/>
    <x v="21"/>
    <x v="0"/>
    <x v="5"/>
  </r>
  <r>
    <n v="101078"/>
    <x v="282"/>
    <s v="AD-7560-A"/>
    <x v="7"/>
    <x v="1"/>
    <x v="4"/>
    <x v="0"/>
    <n v="2"/>
    <n v="130.94999999999999"/>
    <x v="4"/>
    <n v="157.13999999999999"/>
    <x v="1016"/>
    <x v="16"/>
    <x v="0"/>
    <x v="6"/>
  </r>
  <r>
    <n v="100441"/>
    <x v="394"/>
    <s v="AD-7025-B"/>
    <x v="1"/>
    <x v="0"/>
    <x v="2"/>
    <x v="2"/>
    <n v="4"/>
    <n v="22.98"/>
    <x v="1"/>
    <n v="73.540000000000006"/>
    <x v="1017"/>
    <x v="34"/>
    <x v="1"/>
    <x v="6"/>
  </r>
  <r>
    <n v="100663"/>
    <x v="661"/>
    <s v="AD-7563-A"/>
    <x v="9"/>
    <x v="2"/>
    <x v="1"/>
    <x v="3"/>
    <n v="3"/>
    <n v="19.239999999999998"/>
    <x v="2"/>
    <n v="51.95"/>
    <x v="1018"/>
    <x v="27"/>
    <x v="1"/>
    <x v="0"/>
  </r>
  <r>
    <n v="101196"/>
    <x v="506"/>
    <s v="AD-9046-D"/>
    <x v="3"/>
    <x v="2"/>
    <x v="3"/>
    <x v="1"/>
    <n v="3"/>
    <n v="19.61"/>
    <x v="3"/>
    <n v="55.89"/>
    <x v="1019"/>
    <x v="33"/>
    <x v="1"/>
    <x v="0"/>
  </r>
  <r>
    <n v="100317"/>
    <x v="273"/>
    <s v="AD-6185-B"/>
    <x v="5"/>
    <x v="0"/>
    <x v="0"/>
    <x v="1"/>
    <n v="1"/>
    <n v="73.06"/>
    <x v="3"/>
    <n v="69.41"/>
    <x v="1020"/>
    <x v="18"/>
    <x v="0"/>
    <x v="4"/>
  </r>
  <r>
    <n v="100648"/>
    <x v="339"/>
    <s v="AD-4454-C"/>
    <x v="9"/>
    <x v="2"/>
    <x v="1"/>
    <x v="0"/>
    <n v="2"/>
    <n v="22.28"/>
    <x v="0"/>
    <n v="44.56"/>
    <x v="1021"/>
    <x v="21"/>
    <x v="0"/>
    <x v="3"/>
  </r>
  <r>
    <n v="100709"/>
    <x v="354"/>
    <s v="AD-3409-D"/>
    <x v="8"/>
    <x v="2"/>
    <x v="1"/>
    <x v="1"/>
    <n v="5"/>
    <n v="15.08"/>
    <x v="0"/>
    <n v="75.400000000000006"/>
    <x v="1022"/>
    <x v="15"/>
    <x v="1"/>
    <x v="0"/>
  </r>
  <r>
    <n v="100972"/>
    <x v="539"/>
    <s v="AD-1272-C"/>
    <x v="9"/>
    <x v="2"/>
    <x v="0"/>
    <x v="0"/>
    <n v="3"/>
    <n v="22.45"/>
    <x v="0"/>
    <n v="67.349999999999994"/>
    <x v="559"/>
    <x v="2"/>
    <x v="0"/>
    <x v="4"/>
  </r>
  <r>
    <n v="100627"/>
    <x v="662"/>
    <s v="AD-3835-A"/>
    <x v="17"/>
    <x v="2"/>
    <x v="3"/>
    <x v="1"/>
    <n v="2"/>
    <n v="40.25"/>
    <x v="3"/>
    <n v="76.47"/>
    <x v="1023"/>
    <x v="16"/>
    <x v="1"/>
    <x v="6"/>
  </r>
  <r>
    <n v="100632"/>
    <x v="663"/>
    <s v="AD-3089-C"/>
    <x v="4"/>
    <x v="2"/>
    <x v="2"/>
    <x v="3"/>
    <n v="4"/>
    <n v="61.02"/>
    <x v="0"/>
    <n v="244.08"/>
    <x v="1024"/>
    <x v="13"/>
    <x v="0"/>
    <x v="2"/>
  </r>
  <r>
    <n v="101171"/>
    <x v="664"/>
    <s v="AD-5641-B"/>
    <x v="6"/>
    <x v="1"/>
    <x v="0"/>
    <x v="0"/>
    <n v="3"/>
    <n v="173.57"/>
    <x v="3"/>
    <n v="494.67"/>
    <x v="1025"/>
    <x v="0"/>
    <x v="1"/>
    <x v="4"/>
  </r>
  <r>
    <n v="101106"/>
    <x v="665"/>
    <s v="AD-7066-C"/>
    <x v="12"/>
    <x v="0"/>
    <x v="4"/>
    <x v="0"/>
    <n v="2"/>
    <n v="139.21"/>
    <x v="1"/>
    <n v="222.74"/>
    <x v="1026"/>
    <x v="27"/>
    <x v="0"/>
    <x v="7"/>
  </r>
  <r>
    <n v="100795"/>
    <x v="412"/>
    <s v="AD-1067-B"/>
    <x v="0"/>
    <x v="0"/>
    <x v="4"/>
    <x v="1"/>
    <n v="2"/>
    <n v="48.21"/>
    <x v="1"/>
    <n v="77.14"/>
    <x v="1027"/>
    <x v="32"/>
    <x v="1"/>
    <x v="6"/>
  </r>
  <r>
    <n v="100645"/>
    <x v="666"/>
    <s v="AD-5509-C"/>
    <x v="14"/>
    <x v="1"/>
    <x v="2"/>
    <x v="0"/>
    <n v="2"/>
    <n v="216.3"/>
    <x v="0"/>
    <n v="432.6"/>
    <x v="1028"/>
    <x v="27"/>
    <x v="1"/>
    <x v="0"/>
  </r>
  <r>
    <n v="101012"/>
    <x v="140"/>
    <s v="AD-8812-B"/>
    <x v="13"/>
    <x v="0"/>
    <x v="1"/>
    <x v="0"/>
    <n v="1"/>
    <n v="120.04"/>
    <x v="0"/>
    <n v="120.04"/>
    <x v="1029"/>
    <x v="26"/>
    <x v="0"/>
    <x v="2"/>
  </r>
  <r>
    <n v="100556"/>
    <x v="667"/>
    <s v="AD-2505-D"/>
    <x v="14"/>
    <x v="1"/>
    <x v="1"/>
    <x v="1"/>
    <n v="7"/>
    <n v="242.24"/>
    <x v="2"/>
    <n v="1526.11"/>
    <x v="1030"/>
    <x v="8"/>
    <x v="1"/>
    <x v="0"/>
  </r>
  <r>
    <n v="100681"/>
    <x v="610"/>
    <s v="AD-2160-B"/>
    <x v="15"/>
    <x v="1"/>
    <x v="4"/>
    <x v="1"/>
    <n v="4"/>
    <n v="140.09"/>
    <x v="0"/>
    <n v="560.36"/>
    <x v="1031"/>
    <x v="32"/>
    <x v="1"/>
    <x v="1"/>
  </r>
  <r>
    <n v="100577"/>
    <x v="668"/>
    <s v="AD-4387-B"/>
    <x v="14"/>
    <x v="1"/>
    <x v="1"/>
    <x v="1"/>
    <n v="5"/>
    <n v="207.82"/>
    <x v="3"/>
    <n v="987.14"/>
    <x v="1032"/>
    <x v="13"/>
    <x v="1"/>
    <x v="3"/>
  </r>
  <r>
    <n v="100524"/>
    <x v="323"/>
    <s v="AD-6634-C"/>
    <x v="1"/>
    <x v="0"/>
    <x v="4"/>
    <x v="1"/>
    <n v="2"/>
    <n v="25.7"/>
    <x v="1"/>
    <n v="41.12"/>
    <x v="1033"/>
    <x v="5"/>
    <x v="0"/>
    <x v="3"/>
  </r>
  <r>
    <n v="101059"/>
    <x v="362"/>
    <s v="AD-1729-A"/>
    <x v="14"/>
    <x v="1"/>
    <x v="1"/>
    <x v="0"/>
    <n v="4"/>
    <n v="203.77"/>
    <x v="1"/>
    <n v="652.05999999999995"/>
    <x v="1034"/>
    <x v="10"/>
    <x v="1"/>
    <x v="7"/>
  </r>
  <r>
    <n v="100540"/>
    <x v="481"/>
    <s v="AD-4109-B"/>
    <x v="14"/>
    <x v="1"/>
    <x v="4"/>
    <x v="1"/>
    <n v="3"/>
    <n v="233.52"/>
    <x v="4"/>
    <n v="420.34"/>
    <x v="1035"/>
    <x v="3"/>
    <x v="0"/>
    <x v="5"/>
  </r>
  <r>
    <n v="100748"/>
    <x v="619"/>
    <s v="AD-9037-D"/>
    <x v="7"/>
    <x v="1"/>
    <x v="4"/>
    <x v="1"/>
    <n v="4"/>
    <n v="148.94999999999999"/>
    <x v="3"/>
    <n v="566.01"/>
    <x v="1036"/>
    <x v="16"/>
    <x v="1"/>
    <x v="1"/>
  </r>
  <r>
    <n v="101109"/>
    <x v="606"/>
    <s v="AD-5640-A"/>
    <x v="7"/>
    <x v="1"/>
    <x v="4"/>
    <x v="0"/>
    <n v="3"/>
    <n v="146.69"/>
    <x v="0"/>
    <n v="440.07"/>
    <x v="1037"/>
    <x v="15"/>
    <x v="1"/>
    <x v="2"/>
  </r>
  <r>
    <n v="100484"/>
    <x v="669"/>
    <s v="AD-7698-C"/>
    <x v="6"/>
    <x v="1"/>
    <x v="4"/>
    <x v="0"/>
    <n v="3"/>
    <n v="184.81"/>
    <x v="0"/>
    <n v="554.42999999999995"/>
    <x v="1038"/>
    <x v="11"/>
    <x v="0"/>
    <x v="4"/>
  </r>
  <r>
    <n v="100095"/>
    <x v="670"/>
    <s v="AD-9022-B"/>
    <x v="4"/>
    <x v="2"/>
    <x v="0"/>
    <x v="0"/>
    <n v="4"/>
    <n v="64.37"/>
    <x v="3"/>
    <n v="244.61"/>
    <x v="1039"/>
    <x v="28"/>
    <x v="1"/>
    <x v="0"/>
  </r>
  <r>
    <n v="101020"/>
    <x v="671"/>
    <s v="AD-1834-D"/>
    <x v="10"/>
    <x v="2"/>
    <x v="4"/>
    <x v="0"/>
    <n v="1"/>
    <n v="47.45"/>
    <x v="0"/>
    <n v="47.45"/>
    <x v="908"/>
    <x v="4"/>
    <x v="1"/>
    <x v="4"/>
  </r>
  <r>
    <n v="100563"/>
    <x v="672"/>
    <s v="AD-9589-B"/>
    <x v="14"/>
    <x v="1"/>
    <x v="1"/>
    <x v="0"/>
    <n v="3"/>
    <n v="227.63"/>
    <x v="0"/>
    <n v="682.89"/>
    <x v="1040"/>
    <x v="28"/>
    <x v="1"/>
    <x v="6"/>
  </r>
  <r>
    <n v="100742"/>
    <x v="673"/>
    <s v="AD-8795-D"/>
    <x v="17"/>
    <x v="2"/>
    <x v="0"/>
    <x v="2"/>
    <n v="6"/>
    <n v="44.67"/>
    <x v="0"/>
    <n v="268.02"/>
    <x v="1041"/>
    <x v="28"/>
    <x v="0"/>
    <x v="4"/>
  </r>
  <r>
    <n v="100863"/>
    <x v="674"/>
    <s v="AD-1684-A"/>
    <x v="7"/>
    <x v="1"/>
    <x v="1"/>
    <x v="0"/>
    <n v="2"/>
    <n v="176.79"/>
    <x v="0"/>
    <n v="353.58"/>
    <x v="1042"/>
    <x v="8"/>
    <x v="0"/>
    <x v="5"/>
  </r>
  <r>
    <n v="100891"/>
    <x v="675"/>
    <s v="AD-2120-C"/>
    <x v="8"/>
    <x v="2"/>
    <x v="1"/>
    <x v="0"/>
    <n v="1"/>
    <n v="16.23"/>
    <x v="0"/>
    <n v="16.23"/>
    <x v="1043"/>
    <x v="7"/>
    <x v="1"/>
    <x v="6"/>
  </r>
  <r>
    <n v="101038"/>
    <x v="676"/>
    <s v="AD-6476-C"/>
    <x v="1"/>
    <x v="0"/>
    <x v="4"/>
    <x v="0"/>
    <n v="3"/>
    <n v="22.33"/>
    <x v="0"/>
    <n v="66.989999999999995"/>
    <x v="1044"/>
    <x v="33"/>
    <x v="0"/>
    <x v="4"/>
  </r>
  <r>
    <n v="100206"/>
    <x v="677"/>
    <s v="AD-9311-D"/>
    <x v="19"/>
    <x v="1"/>
    <x v="1"/>
    <x v="1"/>
    <n v="4"/>
    <n v="142.63"/>
    <x v="3"/>
    <n v="541.99"/>
    <x v="1045"/>
    <x v="7"/>
    <x v="0"/>
    <x v="4"/>
  </r>
  <r>
    <n v="100392"/>
    <x v="678"/>
    <s v="AD-3292-A"/>
    <x v="5"/>
    <x v="0"/>
    <x v="0"/>
    <x v="2"/>
    <n v="3"/>
    <n v="71.83"/>
    <x v="0"/>
    <n v="215.49"/>
    <x v="1046"/>
    <x v="7"/>
    <x v="0"/>
    <x v="4"/>
  </r>
  <r>
    <n v="100794"/>
    <x v="679"/>
    <s v="AD-6727-A"/>
    <x v="8"/>
    <x v="2"/>
    <x v="1"/>
    <x v="2"/>
    <n v="4"/>
    <n v="16.739999999999998"/>
    <x v="3"/>
    <n v="63.61"/>
    <x v="1047"/>
    <x v="3"/>
    <x v="0"/>
    <x v="1"/>
  </r>
  <r>
    <n v="100870"/>
    <x v="680"/>
    <s v="AD-6783-D"/>
    <x v="2"/>
    <x v="1"/>
    <x v="2"/>
    <x v="2"/>
    <n v="3"/>
    <n v="108.29"/>
    <x v="0"/>
    <n v="324.87"/>
    <x v="1048"/>
    <x v="26"/>
    <x v="1"/>
    <x v="1"/>
  </r>
  <r>
    <n v="100397"/>
    <x v="681"/>
    <s v="AD-8736-B"/>
    <x v="17"/>
    <x v="2"/>
    <x v="2"/>
    <x v="1"/>
    <n v="1"/>
    <n v="36.369999999999997"/>
    <x v="3"/>
    <n v="34.549999999999997"/>
    <x v="1049"/>
    <x v="23"/>
    <x v="0"/>
    <x v="1"/>
  </r>
  <r>
    <n v="100766"/>
    <x v="682"/>
    <s v="AD-9133-A"/>
    <x v="10"/>
    <x v="2"/>
    <x v="1"/>
    <x v="2"/>
    <n v="2"/>
    <n v="47.14"/>
    <x v="0"/>
    <n v="94.28"/>
    <x v="1050"/>
    <x v="26"/>
    <x v="0"/>
    <x v="0"/>
  </r>
  <r>
    <n v="101099"/>
    <x v="554"/>
    <s v="AD-7929-C"/>
    <x v="11"/>
    <x v="0"/>
    <x v="3"/>
    <x v="0"/>
    <n v="2"/>
    <n v="29.57"/>
    <x v="0"/>
    <n v="59.14"/>
    <x v="1051"/>
    <x v="21"/>
    <x v="1"/>
    <x v="7"/>
  </r>
  <r>
    <n v="101028"/>
    <x v="395"/>
    <s v="AD-8852-C"/>
    <x v="15"/>
    <x v="1"/>
    <x v="1"/>
    <x v="0"/>
    <n v="3"/>
    <n v="145.07"/>
    <x v="2"/>
    <n v="391.69"/>
    <x v="1052"/>
    <x v="19"/>
    <x v="1"/>
    <x v="6"/>
  </r>
  <r>
    <n v="100642"/>
    <x v="683"/>
    <s v="AD-6431-D"/>
    <x v="15"/>
    <x v="1"/>
    <x v="1"/>
    <x v="0"/>
    <n v="4"/>
    <n v="164.89"/>
    <x v="0"/>
    <n v="659.56"/>
    <x v="1053"/>
    <x v="22"/>
    <x v="1"/>
    <x v="5"/>
  </r>
  <r>
    <n v="100612"/>
    <x v="637"/>
    <s v="AD-2517-D"/>
    <x v="0"/>
    <x v="0"/>
    <x v="1"/>
    <x v="0"/>
    <n v="2"/>
    <n v="61.75"/>
    <x v="1"/>
    <n v="98.8"/>
    <x v="1054"/>
    <x v="22"/>
    <x v="0"/>
    <x v="6"/>
  </r>
  <r>
    <n v="100960"/>
    <x v="165"/>
    <s v="AD-7993-C"/>
    <x v="17"/>
    <x v="2"/>
    <x v="4"/>
    <x v="2"/>
    <n v="2"/>
    <n v="42.21"/>
    <x v="0"/>
    <n v="84.42"/>
    <x v="1055"/>
    <x v="7"/>
    <x v="0"/>
    <x v="3"/>
  </r>
  <r>
    <n v="100725"/>
    <x v="684"/>
    <s v="AD-7111-D"/>
    <x v="11"/>
    <x v="0"/>
    <x v="0"/>
    <x v="2"/>
    <n v="5"/>
    <n v="26.46"/>
    <x v="2"/>
    <n v="119.07"/>
    <x v="1056"/>
    <x v="16"/>
    <x v="1"/>
    <x v="0"/>
  </r>
  <r>
    <n v="100683"/>
    <x v="685"/>
    <s v="AD-2204-D"/>
    <x v="5"/>
    <x v="0"/>
    <x v="0"/>
    <x v="2"/>
    <n v="5"/>
    <n v="71.91"/>
    <x v="2"/>
    <n v="323.58999999999997"/>
    <x v="1057"/>
    <x v="13"/>
    <x v="1"/>
    <x v="6"/>
  </r>
  <r>
    <n v="100098"/>
    <x v="686"/>
    <s v="AD-2633-D"/>
    <x v="15"/>
    <x v="1"/>
    <x v="3"/>
    <x v="0"/>
    <n v="2"/>
    <n v="145.66"/>
    <x v="2"/>
    <n v="262.19"/>
    <x v="1058"/>
    <x v="18"/>
    <x v="1"/>
    <x v="5"/>
  </r>
  <r>
    <n v="100804"/>
    <x v="12"/>
    <s v="AD-9115-A"/>
    <x v="15"/>
    <x v="1"/>
    <x v="3"/>
    <x v="1"/>
    <n v="2"/>
    <n v="144.69"/>
    <x v="0"/>
    <n v="289.38"/>
    <x v="1059"/>
    <x v="9"/>
    <x v="0"/>
    <x v="3"/>
  </r>
  <r>
    <n v="100406"/>
    <x v="687"/>
    <s v="AD-7147-C"/>
    <x v="14"/>
    <x v="1"/>
    <x v="4"/>
    <x v="1"/>
    <n v="2"/>
    <n v="216.38"/>
    <x v="1"/>
    <n v="346.21"/>
    <x v="1060"/>
    <x v="4"/>
    <x v="1"/>
    <x v="7"/>
  </r>
  <r>
    <n v="100502"/>
    <x v="688"/>
    <s v="AD-9871-A"/>
    <x v="18"/>
    <x v="1"/>
    <x v="4"/>
    <x v="3"/>
    <n v="5"/>
    <n v="89.56"/>
    <x v="2"/>
    <n v="403.02"/>
    <x v="1061"/>
    <x v="13"/>
    <x v="1"/>
    <x v="7"/>
  </r>
  <r>
    <n v="101071"/>
    <x v="689"/>
    <s v="AD-3361-D"/>
    <x v="11"/>
    <x v="0"/>
    <x v="2"/>
    <x v="1"/>
    <n v="1"/>
    <n v="30.18"/>
    <x v="3"/>
    <n v="28.67"/>
    <x v="1062"/>
    <x v="30"/>
    <x v="1"/>
    <x v="5"/>
  </r>
  <r>
    <n v="101056"/>
    <x v="690"/>
    <s v="AD-3165-B"/>
    <x v="6"/>
    <x v="1"/>
    <x v="1"/>
    <x v="0"/>
    <n v="3"/>
    <n v="139.19999999999999"/>
    <x v="0"/>
    <n v="417.6"/>
    <x v="1063"/>
    <x v="29"/>
    <x v="0"/>
    <x v="7"/>
  </r>
  <r>
    <n v="100929"/>
    <x v="351"/>
    <s v="AD-6359-D"/>
    <x v="12"/>
    <x v="0"/>
    <x v="1"/>
    <x v="0"/>
    <n v="4"/>
    <n v="142.22"/>
    <x v="0"/>
    <n v="568.88"/>
    <x v="1064"/>
    <x v="27"/>
    <x v="1"/>
    <x v="3"/>
  </r>
  <r>
    <n v="100779"/>
    <x v="134"/>
    <s v="AD-1339-A"/>
    <x v="4"/>
    <x v="2"/>
    <x v="1"/>
    <x v="0"/>
    <n v="3"/>
    <n v="56.54"/>
    <x v="3"/>
    <n v="161.13999999999999"/>
    <x v="1065"/>
    <x v="23"/>
    <x v="0"/>
    <x v="6"/>
  </r>
  <r>
    <n v="100200"/>
    <x v="218"/>
    <s v="AD-1797-A"/>
    <x v="6"/>
    <x v="1"/>
    <x v="1"/>
    <x v="1"/>
    <n v="4"/>
    <n v="172.08"/>
    <x v="2"/>
    <n v="619.49"/>
    <x v="1066"/>
    <x v="2"/>
    <x v="1"/>
    <x v="4"/>
  </r>
  <r>
    <n v="100134"/>
    <x v="151"/>
    <s v="AD-5381-A"/>
    <x v="8"/>
    <x v="2"/>
    <x v="0"/>
    <x v="1"/>
    <n v="3"/>
    <n v="15.91"/>
    <x v="0"/>
    <n v="47.73"/>
    <x v="1067"/>
    <x v="21"/>
    <x v="0"/>
    <x v="7"/>
  </r>
  <r>
    <n v="101051"/>
    <x v="175"/>
    <s v="AD-7258-C"/>
    <x v="1"/>
    <x v="0"/>
    <x v="3"/>
    <x v="1"/>
    <n v="3"/>
    <n v="25.19"/>
    <x v="1"/>
    <n v="60.46"/>
    <x v="974"/>
    <x v="20"/>
    <x v="0"/>
    <x v="1"/>
  </r>
  <r>
    <n v="100040"/>
    <x v="488"/>
    <s v="AD-6378-C"/>
    <x v="0"/>
    <x v="0"/>
    <x v="2"/>
    <x v="0"/>
    <n v="3"/>
    <n v="54.83"/>
    <x v="0"/>
    <n v="164.49"/>
    <x v="1068"/>
    <x v="18"/>
    <x v="0"/>
    <x v="2"/>
  </r>
  <r>
    <n v="101017"/>
    <x v="134"/>
    <s v="AD-9334-B"/>
    <x v="0"/>
    <x v="0"/>
    <x v="1"/>
    <x v="2"/>
    <n v="2"/>
    <n v="53.14"/>
    <x v="0"/>
    <n v="106.28"/>
    <x v="1069"/>
    <x v="13"/>
    <x v="0"/>
    <x v="2"/>
  </r>
  <r>
    <n v="100230"/>
    <x v="155"/>
    <s v="AD-9792-B"/>
    <x v="11"/>
    <x v="0"/>
    <x v="0"/>
    <x v="0"/>
    <n v="2"/>
    <n v="29.29"/>
    <x v="2"/>
    <n v="52.72"/>
    <x v="1070"/>
    <x v="25"/>
    <x v="1"/>
    <x v="6"/>
  </r>
  <r>
    <n v="100378"/>
    <x v="281"/>
    <s v="AD-4892-A"/>
    <x v="12"/>
    <x v="0"/>
    <x v="0"/>
    <x v="1"/>
    <n v="4"/>
    <n v="128.82"/>
    <x v="2"/>
    <n v="463.75"/>
    <x v="1071"/>
    <x v="7"/>
    <x v="1"/>
    <x v="4"/>
  </r>
  <r>
    <n v="100288"/>
    <x v="45"/>
    <s v="AD-8496-A"/>
    <x v="2"/>
    <x v="1"/>
    <x v="0"/>
    <x v="1"/>
    <n v="4"/>
    <n v="96.44"/>
    <x v="0"/>
    <n v="385.76"/>
    <x v="1072"/>
    <x v="11"/>
    <x v="1"/>
    <x v="6"/>
  </r>
  <r>
    <n v="100418"/>
    <x v="689"/>
    <s v="AD-1472-B"/>
    <x v="17"/>
    <x v="2"/>
    <x v="0"/>
    <x v="0"/>
    <n v="2"/>
    <n v="42.82"/>
    <x v="3"/>
    <n v="81.36"/>
    <x v="1073"/>
    <x v="18"/>
    <x v="0"/>
    <x v="4"/>
  </r>
  <r>
    <n v="100391"/>
    <x v="478"/>
    <s v="AD-4086-B"/>
    <x v="13"/>
    <x v="0"/>
    <x v="4"/>
    <x v="1"/>
    <n v="3"/>
    <n v="117.99"/>
    <x v="0"/>
    <n v="353.97"/>
    <x v="1074"/>
    <x v="24"/>
    <x v="0"/>
    <x v="0"/>
  </r>
  <r>
    <n v="100592"/>
    <x v="380"/>
    <s v="AD-3930-A"/>
    <x v="7"/>
    <x v="1"/>
    <x v="0"/>
    <x v="1"/>
    <n v="2"/>
    <n v="145.22"/>
    <x v="0"/>
    <n v="290.44"/>
    <x v="1075"/>
    <x v="5"/>
    <x v="1"/>
    <x v="3"/>
  </r>
  <r>
    <n v="101086"/>
    <x v="660"/>
    <s v="AD-2528-B"/>
    <x v="17"/>
    <x v="2"/>
    <x v="4"/>
    <x v="0"/>
    <n v="5"/>
    <n v="41.63"/>
    <x v="0"/>
    <n v="208.15"/>
    <x v="1076"/>
    <x v="34"/>
    <x v="0"/>
    <x v="1"/>
  </r>
  <r>
    <n v="100647"/>
    <x v="647"/>
    <s v="AD-3376-B"/>
    <x v="5"/>
    <x v="0"/>
    <x v="0"/>
    <x v="2"/>
    <n v="1"/>
    <n v="70.05"/>
    <x v="3"/>
    <n v="66.55"/>
    <x v="1077"/>
    <x v="34"/>
    <x v="1"/>
    <x v="1"/>
  </r>
  <r>
    <n v="100520"/>
    <x v="2"/>
    <s v="AD-8260-B"/>
    <x v="14"/>
    <x v="1"/>
    <x v="3"/>
    <x v="0"/>
    <n v="2"/>
    <n v="209.22"/>
    <x v="2"/>
    <n v="376.6"/>
    <x v="1078"/>
    <x v="18"/>
    <x v="1"/>
    <x v="0"/>
  </r>
  <r>
    <n v="100064"/>
    <x v="691"/>
    <s v="AD-4249-A"/>
    <x v="17"/>
    <x v="2"/>
    <x v="1"/>
    <x v="1"/>
    <n v="1"/>
    <n v="38.49"/>
    <x v="2"/>
    <n v="34.64"/>
    <x v="1079"/>
    <x v="11"/>
    <x v="0"/>
    <x v="2"/>
  </r>
  <r>
    <n v="100014"/>
    <x v="692"/>
    <s v="AD-6038-B"/>
    <x v="10"/>
    <x v="2"/>
    <x v="0"/>
    <x v="1"/>
    <n v="3"/>
    <n v="50.38"/>
    <x v="0"/>
    <n v="151.13999999999999"/>
    <x v="1080"/>
    <x v="3"/>
    <x v="1"/>
    <x v="4"/>
  </r>
  <r>
    <n v="101064"/>
    <x v="693"/>
    <s v="AD-7047-C"/>
    <x v="0"/>
    <x v="0"/>
    <x v="4"/>
    <x v="2"/>
    <n v="2"/>
    <n v="54.07"/>
    <x v="0"/>
    <n v="108.14"/>
    <x v="1081"/>
    <x v="20"/>
    <x v="1"/>
    <x v="5"/>
  </r>
  <r>
    <n v="100492"/>
    <x v="694"/>
    <s v="AD-4919-A"/>
    <x v="19"/>
    <x v="1"/>
    <x v="0"/>
    <x v="1"/>
    <n v="3"/>
    <n v="122.51"/>
    <x v="0"/>
    <n v="367.53"/>
    <x v="1082"/>
    <x v="21"/>
    <x v="0"/>
    <x v="4"/>
  </r>
  <r>
    <n v="100379"/>
    <x v="351"/>
    <s v="AD-6094-C"/>
    <x v="9"/>
    <x v="2"/>
    <x v="2"/>
    <x v="0"/>
    <n v="2"/>
    <n v="23.11"/>
    <x v="0"/>
    <n v="46.22"/>
    <x v="1083"/>
    <x v="3"/>
    <x v="0"/>
    <x v="0"/>
  </r>
  <r>
    <n v="100187"/>
    <x v="19"/>
    <s v="AD-6922-B"/>
    <x v="8"/>
    <x v="2"/>
    <x v="4"/>
    <x v="0"/>
    <n v="3"/>
    <n v="14.94"/>
    <x v="3"/>
    <n v="42.58"/>
    <x v="1084"/>
    <x v="5"/>
    <x v="0"/>
    <x v="3"/>
  </r>
  <r>
    <n v="100763"/>
    <x v="398"/>
    <s v="AD-3883-A"/>
    <x v="15"/>
    <x v="1"/>
    <x v="4"/>
    <x v="0"/>
    <n v="1"/>
    <n v="150.6"/>
    <x v="1"/>
    <n v="120.48"/>
    <x v="1085"/>
    <x v="27"/>
    <x v="0"/>
    <x v="0"/>
  </r>
  <r>
    <n v="100216"/>
    <x v="162"/>
    <s v="AD-5450-B"/>
    <x v="3"/>
    <x v="2"/>
    <x v="0"/>
    <x v="0"/>
    <n v="4"/>
    <n v="18.86"/>
    <x v="0"/>
    <n v="75.44"/>
    <x v="1086"/>
    <x v="27"/>
    <x v="0"/>
    <x v="0"/>
  </r>
  <r>
    <n v="100791"/>
    <x v="695"/>
    <s v="AD-6169-D"/>
    <x v="1"/>
    <x v="0"/>
    <x v="0"/>
    <x v="0"/>
    <n v="4"/>
    <n v="26.69"/>
    <x v="0"/>
    <n v="106.76"/>
    <x v="1087"/>
    <x v="2"/>
    <x v="1"/>
    <x v="3"/>
  </r>
  <r>
    <n v="101076"/>
    <x v="696"/>
    <s v="AD-1178-D"/>
    <x v="18"/>
    <x v="1"/>
    <x v="2"/>
    <x v="0"/>
    <n v="4"/>
    <n v="85.14"/>
    <x v="1"/>
    <n v="272.45"/>
    <x v="1088"/>
    <x v="18"/>
    <x v="0"/>
    <x v="3"/>
  </r>
  <r>
    <n v="100878"/>
    <x v="98"/>
    <s v="AD-4678-A"/>
    <x v="4"/>
    <x v="2"/>
    <x v="0"/>
    <x v="1"/>
    <n v="2"/>
    <n v="58.59"/>
    <x v="4"/>
    <n v="70.31"/>
    <x v="1089"/>
    <x v="18"/>
    <x v="1"/>
    <x v="7"/>
  </r>
  <r>
    <n v="100337"/>
    <x v="214"/>
    <s v="AD-2731-B"/>
    <x v="5"/>
    <x v="0"/>
    <x v="4"/>
    <x v="1"/>
    <n v="4"/>
    <n v="66.12"/>
    <x v="2"/>
    <n v="238.03"/>
    <x v="1090"/>
    <x v="13"/>
    <x v="0"/>
    <x v="3"/>
  </r>
  <r>
    <n v="100719"/>
    <x v="687"/>
    <s v="AD-3034-C"/>
    <x v="6"/>
    <x v="1"/>
    <x v="4"/>
    <x v="0"/>
    <n v="3"/>
    <n v="159.36000000000001"/>
    <x v="0"/>
    <n v="478.08"/>
    <x v="1091"/>
    <x v="13"/>
    <x v="0"/>
    <x v="5"/>
  </r>
  <r>
    <n v="100295"/>
    <x v="114"/>
    <s v="AD-9808-C"/>
    <x v="2"/>
    <x v="1"/>
    <x v="0"/>
    <x v="0"/>
    <n v="2"/>
    <n v="106.92"/>
    <x v="0"/>
    <n v="213.84"/>
    <x v="1092"/>
    <x v="5"/>
    <x v="1"/>
    <x v="6"/>
  </r>
  <r>
    <n v="101016"/>
    <x v="576"/>
    <s v="AD-3705-A"/>
    <x v="13"/>
    <x v="0"/>
    <x v="0"/>
    <x v="0"/>
    <n v="5"/>
    <n v="128.88999999999999"/>
    <x v="0"/>
    <n v="644.45000000000005"/>
    <x v="1093"/>
    <x v="10"/>
    <x v="1"/>
    <x v="1"/>
  </r>
  <r>
    <n v="100455"/>
    <x v="393"/>
    <s v="AD-3360-C"/>
    <x v="6"/>
    <x v="1"/>
    <x v="1"/>
    <x v="0"/>
    <n v="2"/>
    <n v="196.84"/>
    <x v="3"/>
    <n v="374"/>
    <x v="1094"/>
    <x v="2"/>
    <x v="1"/>
    <x v="0"/>
  </r>
  <r>
    <n v="100815"/>
    <x v="697"/>
    <s v="AD-6469-A"/>
    <x v="3"/>
    <x v="2"/>
    <x v="4"/>
    <x v="1"/>
    <n v="4"/>
    <n v="17.84"/>
    <x v="0"/>
    <n v="71.36"/>
    <x v="1095"/>
    <x v="2"/>
    <x v="0"/>
    <x v="7"/>
  </r>
  <r>
    <n v="100269"/>
    <x v="269"/>
    <s v="AD-1202-C"/>
    <x v="6"/>
    <x v="1"/>
    <x v="0"/>
    <x v="1"/>
    <n v="4"/>
    <n v="205.91"/>
    <x v="2"/>
    <n v="741.28"/>
    <x v="1096"/>
    <x v="27"/>
    <x v="0"/>
    <x v="2"/>
  </r>
  <r>
    <n v="100995"/>
    <x v="627"/>
    <s v="AD-8596-D"/>
    <x v="19"/>
    <x v="1"/>
    <x v="0"/>
    <x v="0"/>
    <n v="3"/>
    <n v="127.71"/>
    <x v="0"/>
    <n v="383.13"/>
    <x v="1097"/>
    <x v="3"/>
    <x v="0"/>
    <x v="1"/>
  </r>
  <r>
    <n v="100201"/>
    <x v="698"/>
    <s v="AD-2761-D"/>
    <x v="9"/>
    <x v="2"/>
    <x v="2"/>
    <x v="1"/>
    <n v="3"/>
    <n v="21.35"/>
    <x v="0"/>
    <n v="64.05"/>
    <x v="1098"/>
    <x v="4"/>
    <x v="1"/>
    <x v="7"/>
  </r>
  <r>
    <n v="100161"/>
    <x v="338"/>
    <s v="AD-8564-C"/>
    <x v="9"/>
    <x v="2"/>
    <x v="4"/>
    <x v="1"/>
    <n v="3"/>
    <n v="19.93"/>
    <x v="0"/>
    <n v="59.79"/>
    <x v="1099"/>
    <x v="0"/>
    <x v="0"/>
    <x v="5"/>
  </r>
  <r>
    <n v="100729"/>
    <x v="65"/>
    <s v="AD-2287-D"/>
    <x v="14"/>
    <x v="1"/>
    <x v="4"/>
    <x v="0"/>
    <n v="2"/>
    <n v="226.68"/>
    <x v="0"/>
    <n v="453.36"/>
    <x v="1100"/>
    <x v="23"/>
    <x v="1"/>
    <x v="3"/>
  </r>
  <r>
    <n v="100401"/>
    <x v="91"/>
    <s v="AD-7280-A"/>
    <x v="2"/>
    <x v="1"/>
    <x v="1"/>
    <x v="0"/>
    <n v="2"/>
    <n v="96.46"/>
    <x v="2"/>
    <n v="173.63"/>
    <x v="470"/>
    <x v="19"/>
    <x v="1"/>
    <x v="5"/>
  </r>
  <r>
    <n v="100702"/>
    <x v="699"/>
    <s v="AD-4806-C"/>
    <x v="11"/>
    <x v="0"/>
    <x v="0"/>
    <x v="0"/>
    <n v="1"/>
    <n v="27.66"/>
    <x v="3"/>
    <n v="26.28"/>
    <x v="1101"/>
    <x v="10"/>
    <x v="1"/>
    <x v="7"/>
  </r>
  <r>
    <n v="101129"/>
    <x v="659"/>
    <s v="AD-2685-C"/>
    <x v="16"/>
    <x v="1"/>
    <x v="4"/>
    <x v="2"/>
    <n v="3"/>
    <n v="33.840000000000003"/>
    <x v="4"/>
    <n v="60.91"/>
    <x v="873"/>
    <x v="23"/>
    <x v="0"/>
    <x v="2"/>
  </r>
  <r>
    <n v="100565"/>
    <x v="277"/>
    <s v="AD-6729-D"/>
    <x v="11"/>
    <x v="0"/>
    <x v="1"/>
    <x v="1"/>
    <n v="3"/>
    <n v="31.11"/>
    <x v="1"/>
    <n v="74.66"/>
    <x v="1102"/>
    <x v="8"/>
    <x v="0"/>
    <x v="3"/>
  </r>
  <r>
    <n v="101021"/>
    <x v="686"/>
    <s v="AD-5752-C"/>
    <x v="12"/>
    <x v="0"/>
    <x v="3"/>
    <x v="0"/>
    <n v="2"/>
    <n v="124.24"/>
    <x v="1"/>
    <n v="198.78"/>
    <x v="1103"/>
    <x v="15"/>
    <x v="0"/>
    <x v="1"/>
  </r>
  <r>
    <n v="101025"/>
    <x v="700"/>
    <s v="AD-3549-C"/>
    <x v="2"/>
    <x v="1"/>
    <x v="2"/>
    <x v="0"/>
    <n v="2"/>
    <n v="97.9"/>
    <x v="0"/>
    <n v="195.8"/>
    <x v="1104"/>
    <x v="30"/>
    <x v="0"/>
    <x v="7"/>
  </r>
  <r>
    <n v="101104"/>
    <x v="159"/>
    <s v="AD-5305-A"/>
    <x v="14"/>
    <x v="1"/>
    <x v="3"/>
    <x v="1"/>
    <n v="3"/>
    <n v="217.49"/>
    <x v="0"/>
    <n v="652.47"/>
    <x v="1105"/>
    <x v="10"/>
    <x v="1"/>
    <x v="2"/>
  </r>
  <r>
    <n v="100205"/>
    <x v="303"/>
    <s v="AD-3440-B"/>
    <x v="15"/>
    <x v="1"/>
    <x v="4"/>
    <x v="0"/>
    <n v="1"/>
    <n v="145.81"/>
    <x v="2"/>
    <n v="131.22999999999999"/>
    <x v="1106"/>
    <x v="11"/>
    <x v="1"/>
    <x v="5"/>
  </r>
  <r>
    <n v="100034"/>
    <x v="412"/>
    <s v="AD-5533-A"/>
    <x v="1"/>
    <x v="0"/>
    <x v="4"/>
    <x v="2"/>
    <n v="1"/>
    <n v="24.55"/>
    <x v="0"/>
    <n v="24.55"/>
    <x v="1107"/>
    <x v="5"/>
    <x v="1"/>
    <x v="2"/>
  </r>
  <r>
    <n v="100775"/>
    <x v="321"/>
    <s v="AD-8426-A"/>
    <x v="7"/>
    <x v="1"/>
    <x v="1"/>
    <x v="0"/>
    <n v="3"/>
    <n v="153.41"/>
    <x v="0"/>
    <n v="460.23"/>
    <x v="1108"/>
    <x v="11"/>
    <x v="0"/>
    <x v="4"/>
  </r>
  <r>
    <n v="100508"/>
    <x v="482"/>
    <s v="AD-2636-C"/>
    <x v="12"/>
    <x v="0"/>
    <x v="4"/>
    <x v="0"/>
    <n v="7"/>
    <n v="123.53"/>
    <x v="4"/>
    <n v="518.83000000000004"/>
    <x v="1109"/>
    <x v="34"/>
    <x v="0"/>
    <x v="6"/>
  </r>
  <r>
    <n v="101183"/>
    <x v="340"/>
    <s v="AD-8761-A"/>
    <x v="6"/>
    <x v="1"/>
    <x v="2"/>
    <x v="1"/>
    <n v="1"/>
    <n v="196.24"/>
    <x v="1"/>
    <n v="156.99"/>
    <x v="1110"/>
    <x v="13"/>
    <x v="1"/>
    <x v="1"/>
  </r>
  <r>
    <n v="100091"/>
    <x v="176"/>
    <s v="AD-8178-D"/>
    <x v="9"/>
    <x v="2"/>
    <x v="0"/>
    <x v="0"/>
    <n v="3"/>
    <n v="17.95"/>
    <x v="0"/>
    <n v="53.85"/>
    <x v="1111"/>
    <x v="23"/>
    <x v="1"/>
    <x v="0"/>
  </r>
  <r>
    <n v="100897"/>
    <x v="701"/>
    <s v="AD-3884-C"/>
    <x v="1"/>
    <x v="0"/>
    <x v="1"/>
    <x v="1"/>
    <n v="3"/>
    <n v="21.1"/>
    <x v="0"/>
    <n v="63.3"/>
    <x v="1112"/>
    <x v="8"/>
    <x v="1"/>
    <x v="7"/>
  </r>
  <r>
    <n v="100564"/>
    <x v="81"/>
    <s v="AD-7776-D"/>
    <x v="2"/>
    <x v="1"/>
    <x v="1"/>
    <x v="1"/>
    <n v="3"/>
    <n v="83.45"/>
    <x v="4"/>
    <n v="150.21"/>
    <x v="1113"/>
    <x v="8"/>
    <x v="0"/>
    <x v="1"/>
  </r>
  <r>
    <n v="100776"/>
    <x v="702"/>
    <s v="AD-7564-B"/>
    <x v="15"/>
    <x v="1"/>
    <x v="4"/>
    <x v="0"/>
    <n v="3"/>
    <n v="151.03"/>
    <x v="0"/>
    <n v="453.09"/>
    <x v="1114"/>
    <x v="21"/>
    <x v="0"/>
    <x v="7"/>
  </r>
  <r>
    <n v="100241"/>
    <x v="541"/>
    <s v="AD-7775-C"/>
    <x v="19"/>
    <x v="1"/>
    <x v="0"/>
    <x v="0"/>
    <n v="5"/>
    <n v="126.81"/>
    <x v="0"/>
    <n v="634.04999999999995"/>
    <x v="1115"/>
    <x v="7"/>
    <x v="0"/>
    <x v="6"/>
  </r>
  <r>
    <n v="100013"/>
    <x v="675"/>
    <s v="AD-7126-B"/>
    <x v="18"/>
    <x v="1"/>
    <x v="4"/>
    <x v="1"/>
    <n v="5"/>
    <n v="76.87"/>
    <x v="0"/>
    <n v="384.35"/>
    <x v="1116"/>
    <x v="13"/>
    <x v="0"/>
    <x v="3"/>
  </r>
  <r>
    <n v="100315"/>
    <x v="703"/>
    <s v="AD-1439-C"/>
    <x v="14"/>
    <x v="1"/>
    <x v="0"/>
    <x v="0"/>
    <n v="5"/>
    <n v="230.5"/>
    <x v="1"/>
    <n v="922"/>
    <x v="1117"/>
    <x v="5"/>
    <x v="0"/>
    <x v="0"/>
  </r>
  <r>
    <n v="100600"/>
    <x v="704"/>
    <s v="AD-4425-A"/>
    <x v="9"/>
    <x v="2"/>
    <x v="0"/>
    <x v="0"/>
    <n v="2"/>
    <n v="20.64"/>
    <x v="2"/>
    <n v="37.15"/>
    <x v="1118"/>
    <x v="17"/>
    <x v="1"/>
    <x v="6"/>
  </r>
  <r>
    <n v="100387"/>
    <x v="496"/>
    <s v="AD-8767-B"/>
    <x v="16"/>
    <x v="1"/>
    <x v="1"/>
    <x v="0"/>
    <n v="5"/>
    <n v="37.450000000000003"/>
    <x v="4"/>
    <n v="112.35"/>
    <x v="1119"/>
    <x v="34"/>
    <x v="0"/>
    <x v="7"/>
  </r>
  <r>
    <n v="100166"/>
    <x v="705"/>
    <s v="AD-1627-C"/>
    <x v="13"/>
    <x v="0"/>
    <x v="2"/>
    <x v="1"/>
    <n v="4"/>
    <n v="119.84"/>
    <x v="0"/>
    <n v="479.36"/>
    <x v="1120"/>
    <x v="0"/>
    <x v="0"/>
    <x v="3"/>
  </r>
  <r>
    <n v="100840"/>
    <x v="706"/>
    <s v="AD-9737-B"/>
    <x v="18"/>
    <x v="1"/>
    <x v="0"/>
    <x v="0"/>
    <n v="2"/>
    <n v="79.25"/>
    <x v="3"/>
    <n v="150.57"/>
    <x v="355"/>
    <x v="8"/>
    <x v="1"/>
    <x v="6"/>
  </r>
  <r>
    <n v="100020"/>
    <x v="117"/>
    <s v="AD-2588-D"/>
    <x v="17"/>
    <x v="2"/>
    <x v="4"/>
    <x v="1"/>
    <n v="5"/>
    <n v="40.69"/>
    <x v="0"/>
    <n v="203.45"/>
    <x v="1121"/>
    <x v="16"/>
    <x v="1"/>
    <x v="1"/>
  </r>
  <r>
    <n v="100646"/>
    <x v="159"/>
    <s v="AD-3873-C"/>
    <x v="18"/>
    <x v="1"/>
    <x v="2"/>
    <x v="1"/>
    <n v="4"/>
    <n v="86.95"/>
    <x v="0"/>
    <n v="347.8"/>
    <x v="730"/>
    <x v="19"/>
    <x v="0"/>
    <x v="4"/>
  </r>
  <r>
    <n v="101154"/>
    <x v="579"/>
    <s v="AD-1817-B"/>
    <x v="12"/>
    <x v="0"/>
    <x v="4"/>
    <x v="1"/>
    <n v="3"/>
    <n v="143.54"/>
    <x v="1"/>
    <n v="344.5"/>
    <x v="1122"/>
    <x v="27"/>
    <x v="1"/>
    <x v="1"/>
  </r>
  <r>
    <n v="100831"/>
    <x v="680"/>
    <s v="AD-1487-D"/>
    <x v="5"/>
    <x v="0"/>
    <x v="1"/>
    <x v="2"/>
    <n v="2"/>
    <n v="72.959999999999994"/>
    <x v="2"/>
    <n v="131.33000000000001"/>
    <x v="1123"/>
    <x v="26"/>
    <x v="0"/>
    <x v="4"/>
  </r>
  <r>
    <n v="100562"/>
    <x v="707"/>
    <s v="AD-9221-D"/>
    <x v="2"/>
    <x v="1"/>
    <x v="0"/>
    <x v="1"/>
    <n v="3"/>
    <n v="99.23"/>
    <x v="3"/>
    <n v="282.81"/>
    <x v="1124"/>
    <x v="8"/>
    <x v="1"/>
    <x v="2"/>
  </r>
  <r>
    <n v="101170"/>
    <x v="416"/>
    <s v="AD-1871-D"/>
    <x v="0"/>
    <x v="0"/>
    <x v="4"/>
    <x v="1"/>
    <n v="2"/>
    <n v="62.77"/>
    <x v="2"/>
    <n v="112.99"/>
    <x v="1125"/>
    <x v="0"/>
    <x v="1"/>
    <x v="1"/>
  </r>
  <r>
    <n v="100686"/>
    <x v="640"/>
    <s v="AD-5835-B"/>
    <x v="14"/>
    <x v="1"/>
    <x v="1"/>
    <x v="0"/>
    <n v="4"/>
    <n v="230.61"/>
    <x v="2"/>
    <n v="830.2"/>
    <x v="1126"/>
    <x v="2"/>
    <x v="0"/>
    <x v="6"/>
  </r>
  <r>
    <n v="100957"/>
    <x v="289"/>
    <s v="AD-8827-A"/>
    <x v="11"/>
    <x v="0"/>
    <x v="0"/>
    <x v="3"/>
    <n v="4"/>
    <n v="30.19"/>
    <x v="0"/>
    <n v="120.76"/>
    <x v="1127"/>
    <x v="10"/>
    <x v="0"/>
    <x v="6"/>
  </r>
  <r>
    <n v="100189"/>
    <x v="708"/>
    <s v="AD-7708-A"/>
    <x v="2"/>
    <x v="1"/>
    <x v="1"/>
    <x v="1"/>
    <n v="1"/>
    <n v="79.48"/>
    <x v="2"/>
    <n v="71.53"/>
    <x v="1128"/>
    <x v="5"/>
    <x v="1"/>
    <x v="2"/>
  </r>
  <r>
    <n v="100975"/>
    <x v="24"/>
    <s v="AD-3094-D"/>
    <x v="16"/>
    <x v="1"/>
    <x v="2"/>
    <x v="2"/>
    <n v="4"/>
    <n v="37.32"/>
    <x v="0"/>
    <n v="149.28"/>
    <x v="1129"/>
    <x v="15"/>
    <x v="0"/>
    <x v="7"/>
  </r>
  <r>
    <n v="100699"/>
    <x v="163"/>
    <s v="AD-4085-D"/>
    <x v="8"/>
    <x v="2"/>
    <x v="1"/>
    <x v="0"/>
    <n v="4"/>
    <n v="15.21"/>
    <x v="0"/>
    <n v="60.84"/>
    <x v="1077"/>
    <x v="18"/>
    <x v="0"/>
    <x v="1"/>
  </r>
  <r>
    <n v="100510"/>
    <x v="498"/>
    <s v="AD-8972-C"/>
    <x v="4"/>
    <x v="2"/>
    <x v="3"/>
    <x v="2"/>
    <n v="2"/>
    <n v="64.86"/>
    <x v="3"/>
    <n v="123.23"/>
    <x v="1130"/>
    <x v="11"/>
    <x v="1"/>
    <x v="4"/>
  </r>
  <r>
    <n v="101082"/>
    <x v="709"/>
    <s v="AD-4937-C"/>
    <x v="16"/>
    <x v="1"/>
    <x v="0"/>
    <x v="0"/>
    <n v="2"/>
    <n v="36.950000000000003"/>
    <x v="0"/>
    <n v="73.900000000000006"/>
    <x v="1131"/>
    <x v="8"/>
    <x v="0"/>
    <x v="7"/>
  </r>
  <r>
    <n v="100474"/>
    <x v="39"/>
    <s v="AD-7732-A"/>
    <x v="13"/>
    <x v="0"/>
    <x v="1"/>
    <x v="1"/>
    <n v="1"/>
    <n v="110.04"/>
    <x v="0"/>
    <n v="110.04"/>
    <x v="1132"/>
    <x v="17"/>
    <x v="1"/>
    <x v="3"/>
  </r>
  <r>
    <n v="100856"/>
    <x v="128"/>
    <s v="AD-1394-C"/>
    <x v="17"/>
    <x v="2"/>
    <x v="2"/>
    <x v="0"/>
    <n v="6"/>
    <n v="37.799999999999997"/>
    <x v="2"/>
    <n v="204.12"/>
    <x v="1133"/>
    <x v="9"/>
    <x v="1"/>
    <x v="2"/>
  </r>
  <r>
    <n v="100747"/>
    <x v="710"/>
    <s v="AD-3897-C"/>
    <x v="18"/>
    <x v="1"/>
    <x v="1"/>
    <x v="0"/>
    <n v="2"/>
    <n v="82.82"/>
    <x v="3"/>
    <n v="157.36000000000001"/>
    <x v="1134"/>
    <x v="4"/>
    <x v="1"/>
    <x v="7"/>
  </r>
  <r>
    <n v="100252"/>
    <x v="711"/>
    <s v="AD-5216-D"/>
    <x v="13"/>
    <x v="0"/>
    <x v="0"/>
    <x v="0"/>
    <n v="2"/>
    <n v="113.39"/>
    <x v="1"/>
    <n v="181.42"/>
    <x v="1135"/>
    <x v="9"/>
    <x v="0"/>
    <x v="4"/>
  </r>
  <r>
    <n v="100021"/>
    <x v="149"/>
    <s v="AD-1993-D"/>
    <x v="4"/>
    <x v="2"/>
    <x v="2"/>
    <x v="0"/>
    <n v="2"/>
    <n v="59.87"/>
    <x v="3"/>
    <n v="113.75"/>
    <x v="1136"/>
    <x v="6"/>
    <x v="0"/>
    <x v="1"/>
  </r>
  <r>
    <n v="100459"/>
    <x v="28"/>
    <s v="AD-4234-D"/>
    <x v="8"/>
    <x v="2"/>
    <x v="1"/>
    <x v="0"/>
    <n v="3"/>
    <n v="15.32"/>
    <x v="3"/>
    <n v="43.66"/>
    <x v="1137"/>
    <x v="25"/>
    <x v="1"/>
    <x v="1"/>
  </r>
  <r>
    <n v="100276"/>
    <x v="640"/>
    <s v="AD-1440-D"/>
    <x v="12"/>
    <x v="0"/>
    <x v="3"/>
    <x v="0"/>
    <n v="2"/>
    <n v="143.68"/>
    <x v="3"/>
    <n v="272.99"/>
    <x v="1138"/>
    <x v="7"/>
    <x v="2"/>
    <x v="3"/>
  </r>
  <r>
    <n v="100955"/>
    <x v="624"/>
    <s v="AD-3039-D"/>
    <x v="11"/>
    <x v="0"/>
    <x v="1"/>
    <x v="3"/>
    <n v="3"/>
    <n v="30.31"/>
    <x v="3"/>
    <n v="86.38"/>
    <x v="1139"/>
    <x v="3"/>
    <x v="1"/>
    <x v="7"/>
  </r>
  <r>
    <n v="100385"/>
    <x v="453"/>
    <s v="AD-3679-C"/>
    <x v="19"/>
    <x v="1"/>
    <x v="3"/>
    <x v="1"/>
    <n v="3"/>
    <n v="130.16"/>
    <x v="3"/>
    <n v="370.96"/>
    <x v="1140"/>
    <x v="25"/>
    <x v="0"/>
    <x v="4"/>
  </r>
  <r>
    <n v="100805"/>
    <x v="712"/>
    <s v="AD-5921-B"/>
    <x v="3"/>
    <x v="2"/>
    <x v="2"/>
    <x v="1"/>
    <n v="3"/>
    <n v="16.39"/>
    <x v="3"/>
    <n v="46.71"/>
    <x v="1141"/>
    <x v="25"/>
    <x v="1"/>
    <x v="3"/>
  </r>
  <r>
    <n v="100343"/>
    <x v="510"/>
    <s v="AD-2506-C"/>
    <x v="2"/>
    <x v="1"/>
    <x v="4"/>
    <x v="2"/>
    <n v="2"/>
    <n v="96.12"/>
    <x v="2"/>
    <n v="173.02"/>
    <x v="1142"/>
    <x v="17"/>
    <x v="1"/>
    <x v="3"/>
  </r>
  <r>
    <n v="100769"/>
    <x v="713"/>
    <s v="AD-6947-D"/>
    <x v="18"/>
    <x v="1"/>
    <x v="1"/>
    <x v="1"/>
    <n v="3"/>
    <n v="79.709999999999994"/>
    <x v="3"/>
    <n v="227.17"/>
    <x v="1143"/>
    <x v="0"/>
    <x v="0"/>
    <x v="3"/>
  </r>
  <r>
    <n v="100130"/>
    <x v="714"/>
    <s v="AD-2527-D"/>
    <x v="1"/>
    <x v="0"/>
    <x v="4"/>
    <x v="3"/>
    <n v="2"/>
    <n v="25.2"/>
    <x v="3"/>
    <n v="47.88"/>
    <x v="1144"/>
    <x v="7"/>
    <x v="1"/>
    <x v="1"/>
  </r>
  <r>
    <n v="100871"/>
    <x v="574"/>
    <s v="AD-3044-D"/>
    <x v="19"/>
    <x v="1"/>
    <x v="4"/>
    <x v="1"/>
    <n v="5"/>
    <n v="127.61"/>
    <x v="3"/>
    <n v="606.15"/>
    <x v="1145"/>
    <x v="3"/>
    <x v="0"/>
    <x v="7"/>
  </r>
  <r>
    <n v="101123"/>
    <x v="715"/>
    <s v="AD-4445-D"/>
    <x v="16"/>
    <x v="1"/>
    <x v="1"/>
    <x v="0"/>
    <n v="3"/>
    <n v="33.9"/>
    <x v="3"/>
    <n v="96.61"/>
    <x v="1127"/>
    <x v="20"/>
    <x v="1"/>
    <x v="1"/>
  </r>
  <r>
    <n v="100087"/>
    <x v="461"/>
    <s v="AD-9056-A"/>
    <x v="7"/>
    <x v="1"/>
    <x v="0"/>
    <x v="2"/>
    <n v="2"/>
    <n v="149.85"/>
    <x v="3"/>
    <n v="284.70999999999998"/>
    <x v="1146"/>
    <x v="15"/>
    <x v="1"/>
    <x v="2"/>
  </r>
  <r>
    <n v="100330"/>
    <x v="677"/>
    <s v="AD-4974-D"/>
    <x v="2"/>
    <x v="1"/>
    <x v="4"/>
    <x v="0"/>
    <n v="4"/>
    <n v="95.63"/>
    <x v="0"/>
    <n v="382.52"/>
    <x v="1147"/>
    <x v="4"/>
    <x v="0"/>
    <x v="0"/>
  </r>
  <r>
    <n v="100466"/>
    <x v="355"/>
    <s v="AD-3193-D"/>
    <x v="8"/>
    <x v="2"/>
    <x v="0"/>
    <x v="0"/>
    <n v="3"/>
    <n v="14.54"/>
    <x v="3"/>
    <n v="41.44"/>
    <x v="1148"/>
    <x v="13"/>
    <x v="1"/>
    <x v="0"/>
  </r>
  <r>
    <n v="100121"/>
    <x v="716"/>
    <s v="AD-4538-B"/>
    <x v="13"/>
    <x v="0"/>
    <x v="4"/>
    <x v="1"/>
    <n v="4"/>
    <n v="104.11"/>
    <x v="1"/>
    <n v="333.15"/>
    <x v="1149"/>
    <x v="30"/>
    <x v="1"/>
    <x v="6"/>
  </r>
  <r>
    <n v="101044"/>
    <x v="467"/>
    <s v="AD-7512-D"/>
    <x v="14"/>
    <x v="1"/>
    <x v="3"/>
    <x v="0"/>
    <n v="2"/>
    <n v="220.12"/>
    <x v="3"/>
    <n v="418.23"/>
    <x v="1150"/>
    <x v="13"/>
    <x v="0"/>
    <x v="6"/>
  </r>
  <r>
    <n v="101095"/>
    <x v="717"/>
    <s v="AD-6716-D"/>
    <x v="17"/>
    <x v="2"/>
    <x v="4"/>
    <x v="0"/>
    <n v="2"/>
    <n v="45.97"/>
    <x v="3"/>
    <n v="87.34"/>
    <x v="1151"/>
    <x v="31"/>
    <x v="1"/>
    <x v="1"/>
  </r>
  <r>
    <n v="101130"/>
    <x v="718"/>
    <s v="AD-6222-A"/>
    <x v="16"/>
    <x v="1"/>
    <x v="1"/>
    <x v="2"/>
    <n v="3"/>
    <n v="31"/>
    <x v="0"/>
    <n v="93"/>
    <x v="1152"/>
    <x v="2"/>
    <x v="1"/>
    <x v="0"/>
  </r>
  <r>
    <n v="100860"/>
    <x v="719"/>
    <s v="AD-5412-A"/>
    <x v="19"/>
    <x v="1"/>
    <x v="1"/>
    <x v="1"/>
    <n v="4"/>
    <n v="142.77000000000001"/>
    <x v="0"/>
    <n v="571.08000000000004"/>
    <x v="1153"/>
    <x v="31"/>
    <x v="1"/>
    <x v="1"/>
  </r>
  <r>
    <n v="101126"/>
    <x v="720"/>
    <s v="AD-4543-C"/>
    <x v="18"/>
    <x v="1"/>
    <x v="4"/>
    <x v="0"/>
    <n v="6"/>
    <n v="72.03"/>
    <x v="1"/>
    <n v="345.74"/>
    <x v="1154"/>
    <x v="21"/>
    <x v="1"/>
    <x v="3"/>
  </r>
  <r>
    <m/>
    <x v="721"/>
    <m/>
    <x v="20"/>
    <x v="3"/>
    <x v="5"/>
    <x v="4"/>
    <m/>
    <m/>
    <x v="5"/>
    <m/>
    <x v="1155"/>
    <x v="38"/>
    <x v="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8DF447-12D6-49BD-AFFB-24630E025005}" name="PivotTable2" cacheId="4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3:C17" firstHeaderRow="0" firstDataRow="1" firstDataCol="1"/>
  <pivotFields count="17">
    <pivotField showAll="0"/>
    <pivotField showAll="0">
      <items count="15">
        <item x="0"/>
        <item x="1"/>
        <item x="2"/>
        <item x="3"/>
        <item x="4"/>
        <item x="5"/>
        <item x="6"/>
        <item x="7"/>
        <item x="8"/>
        <item x="9"/>
        <item x="10"/>
        <item x="11"/>
        <item x="12"/>
        <item x="13"/>
        <item t="default"/>
      </items>
    </pivotField>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showAll="0"/>
    <pivotField showAll="0"/>
    <pivotField showAll="0"/>
    <pivotField dataField="1" showAll="0"/>
    <pivotField dataField="1" showAll="0"/>
    <pivotField showAll="0"/>
    <pivotField showAll="0">
      <items count="5">
        <item x="0"/>
        <item x="1"/>
        <item x="2"/>
        <item x="3"/>
        <item t="default"/>
      </items>
    </pivotField>
    <pivotField showAll="0"/>
    <pivotField axis="axisRow" showAll="0">
      <items count="7">
        <item h="1" sd="0" x="0"/>
        <item sd="0" x="1"/>
        <item sd="0" x="2"/>
        <item sd="0" x="3"/>
        <item sd="0" x="4"/>
        <item h="1" sd="0" x="5"/>
        <item t="default"/>
      </items>
    </pivotField>
    <pivotField axis="axisRow" showAll="0">
      <items count="6">
        <item sd="0" x="0"/>
        <item x="1"/>
        <item x="2"/>
        <item x="3"/>
        <item sd="0" x="4"/>
        <item t="default"/>
      </items>
    </pivotField>
  </pivotFields>
  <rowFields count="2">
    <field x="16"/>
    <field x="15"/>
  </rowFields>
  <rowItems count="14">
    <i>
      <x v="1"/>
    </i>
    <i r="1">
      <x v="1"/>
    </i>
    <i r="1">
      <x v="2"/>
    </i>
    <i r="1">
      <x v="3"/>
    </i>
    <i r="1">
      <x v="4"/>
    </i>
    <i>
      <x v="2"/>
    </i>
    <i r="1">
      <x v="1"/>
    </i>
    <i r="1">
      <x v="2"/>
    </i>
    <i r="1">
      <x v="3"/>
    </i>
    <i r="1">
      <x v="4"/>
    </i>
    <i>
      <x v="3"/>
    </i>
    <i r="1">
      <x v="1"/>
    </i>
    <i r="1">
      <x v="2"/>
    </i>
    <i r="1">
      <x v="3"/>
    </i>
  </rowItems>
  <colFields count="1">
    <field x="-2"/>
  </colFields>
  <colItems count="2">
    <i>
      <x/>
    </i>
    <i i="1">
      <x v="1"/>
    </i>
  </colItems>
  <dataFields count="2">
    <dataField name="Sum of Revenue" fld="10" baseField="0" baseItem="0" numFmtId="1"/>
    <dataField name="Sum of Profit" fld="11" baseField="0" baseItem="0"/>
  </dataFields>
  <formats count="2">
    <format dxfId="79">
      <pivotArea outline="0" collapsedLevelsAreSubtotals="1" fieldPosition="0"/>
    </format>
    <format dxfId="7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5" count="1" selected="0">
            <x v="1"/>
          </reference>
          <reference field="16" count="1" selected="0">
            <x v="3"/>
          </reference>
        </references>
      </pivotArea>
    </chartFormat>
    <chartFormat chart="0" format="2">
      <pivotArea type="data" outline="0" fieldPosition="0">
        <references count="3">
          <reference field="4294967294" count="1" selected="0">
            <x v="0"/>
          </reference>
          <reference field="15" count="1" selected="0">
            <x v="3"/>
          </reference>
          <reference field="16" count="1" selected="0">
            <x v="2"/>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3">
          <reference field="4294967294" count="1" selected="0">
            <x v="1"/>
          </reference>
          <reference field="15" count="1" selected="0">
            <x v="3"/>
          </reference>
          <reference field="16"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3">
          <reference field="4294967294" count="1" selected="0">
            <x v="0"/>
          </reference>
          <reference field="15" count="1" selected="0">
            <x v="3"/>
          </reference>
          <reference field="16" count="1" selected="0">
            <x v="2"/>
          </reference>
        </references>
      </pivotArea>
    </chartFormat>
    <chartFormat chart="2"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09A9A-2530-46E4-83A4-68738961A37C}" name="PivotTable10" cacheId="4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F2:AG6" firstHeaderRow="1" firstDataRow="1" firstDataCol="1"/>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axis="axisRow" showAll="0">
      <items count="6">
        <item x="0"/>
        <item x="2"/>
        <item x="1"/>
        <item x="3"/>
        <item h="1" x="4"/>
        <item t="default"/>
      </items>
    </pivotField>
    <pivotField showAll="0"/>
    <pivotField showAll="0"/>
    <pivotField showAll="0"/>
    <pivotField dataField="1" showAll="0"/>
    <pivotField showAll="0"/>
    <pivotField showAll="0"/>
    <pivotField showAll="0">
      <items count="5">
        <item x="0"/>
        <item x="1"/>
        <item x="2"/>
        <item x="3"/>
        <item t="default"/>
      </items>
    </pivotField>
    <pivotField showAll="0"/>
    <pivotField showAll="0" defaultSubtotal="0"/>
    <pivotField showAll="0" defaultSubtotal="0"/>
  </pivotFields>
  <rowFields count="1">
    <field x="6"/>
  </rowFields>
  <rowItems count="4">
    <i>
      <x/>
    </i>
    <i>
      <x v="1"/>
    </i>
    <i>
      <x v="2"/>
    </i>
    <i>
      <x v="3"/>
    </i>
  </rowItems>
  <colItems count="1">
    <i/>
  </colItems>
  <dataFields count="1">
    <dataField name="Sum of Revenue" fld="10" baseField="0" baseItem="0" numFmtId="1"/>
  </dataFields>
  <formats count="2">
    <format dxfId="81">
      <pivotArea outline="0" collapsedLevelsAreSubtotals="1" fieldPosition="0"/>
    </format>
    <format dxfId="8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6CFE37-F20C-4247-81BD-D748F649D8CE}" name="PivotTable7" cacheId="4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B2:AC7" firstHeaderRow="1" firstDataRow="1" firstDataCol="1"/>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axis="axisRow" showAll="0">
      <items count="7">
        <item x="0"/>
        <item x="4"/>
        <item x="2"/>
        <item x="3"/>
        <item x="1"/>
        <item h="1" x="5"/>
        <item t="default"/>
      </items>
    </pivotField>
    <pivotField showAll="0"/>
    <pivotField showAll="0"/>
    <pivotField showAll="0"/>
    <pivotField showAll="0"/>
    <pivotField dataField="1" showAll="0"/>
    <pivotField showAll="0"/>
    <pivotField showAll="0"/>
    <pivotField showAll="0">
      <items count="5">
        <item x="0"/>
        <item x="1"/>
        <item x="2"/>
        <item x="3"/>
        <item t="default"/>
      </items>
    </pivotField>
    <pivotField showAll="0"/>
    <pivotField showAll="0" defaultSubtotal="0"/>
    <pivotField showAll="0" defaultSubtotal="0"/>
  </pivotFields>
  <rowFields count="1">
    <field x="5"/>
  </rowFields>
  <rowItems count="5">
    <i>
      <x/>
    </i>
    <i>
      <x v="1"/>
    </i>
    <i>
      <x v="2"/>
    </i>
    <i>
      <x v="3"/>
    </i>
    <i>
      <x v="4"/>
    </i>
  </rowItems>
  <colItems count="1">
    <i/>
  </colItems>
  <dataFields count="1">
    <dataField name="Sum of Revenue" fld="10" baseField="0" baseItem="0" numFmtId="1"/>
  </dataFields>
  <formats count="2">
    <format dxfId="83">
      <pivotArea outline="0" collapsedLevelsAreSubtotals="1" fieldPosition="0"/>
    </format>
    <format dxfId="8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632D1E-E078-4149-BB94-D51A95FE7F97}" name="PivotTable6" cacheId="4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V2:W23" firstHeaderRow="1" firstDataRow="1" firstDataCol="1"/>
  <pivotFields count="17">
    <pivotField showAll="0"/>
    <pivotField showAll="0"/>
    <pivotField showAll="0"/>
    <pivotField axis="axisRow" showAll="0" sortType="ascending">
      <items count="22">
        <item x="5"/>
        <item x="16"/>
        <item x="7"/>
        <item x="1"/>
        <item x="10"/>
        <item x="19"/>
        <item x="4"/>
        <item x="3"/>
        <item x="14"/>
        <item x="12"/>
        <item x="17"/>
        <item x="8"/>
        <item x="18"/>
        <item x="2"/>
        <item x="0"/>
        <item x="9"/>
        <item x="11"/>
        <item x="6"/>
        <item x="15"/>
        <item x="13"/>
        <item x="2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showAll="0"/>
    <pivotField showAll="0"/>
    <pivotField dataField="1" showAll="0"/>
    <pivotField showAll="0"/>
    <pivotField showAll="0"/>
    <pivotField showAll="0">
      <items count="5">
        <item x="0"/>
        <item x="1"/>
        <item x="2"/>
        <item x="3"/>
        <item t="default"/>
      </items>
    </pivotField>
    <pivotField showAll="0"/>
    <pivotField showAll="0" defaultSubtotal="0"/>
    <pivotField showAll="0" defaultSubtotal="0"/>
  </pivotFields>
  <rowFields count="1">
    <field x="3"/>
  </rowFields>
  <rowItems count="21">
    <i>
      <x v="20"/>
    </i>
    <i>
      <x v="11"/>
    </i>
    <i>
      <x v="3"/>
    </i>
    <i>
      <x v="7"/>
    </i>
    <i>
      <x v="4"/>
    </i>
    <i>
      <x v="15"/>
    </i>
    <i>
      <x v="16"/>
    </i>
    <i>
      <x v="1"/>
    </i>
    <i>
      <x v="10"/>
    </i>
    <i>
      <x v="14"/>
    </i>
    <i>
      <x/>
    </i>
    <i>
      <x v="6"/>
    </i>
    <i>
      <x v="12"/>
    </i>
    <i>
      <x v="13"/>
    </i>
    <i>
      <x v="5"/>
    </i>
    <i>
      <x v="19"/>
    </i>
    <i>
      <x v="17"/>
    </i>
    <i>
      <x v="2"/>
    </i>
    <i>
      <x v="9"/>
    </i>
    <i>
      <x v="18"/>
    </i>
    <i>
      <x v="8"/>
    </i>
  </rowItems>
  <colItems count="1">
    <i/>
  </colItems>
  <dataFields count="1">
    <dataField name="Sum of Revenue" fld="10" baseField="0" baseItem="0" numFmtId="1"/>
  </dataFields>
  <formats count="2">
    <format dxfId="85">
      <pivotArea outline="0" collapsedLevelsAreSubtotals="1" fieldPosition="0"/>
    </format>
    <format dxfId="8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502CA-60BE-4D80-AA6E-EB01341DEA53}" name="PivotTable17"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36:AA37" firstHeaderRow="1" firstDataRow="1" firstDataCol="0"/>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dataField="1" showAll="0"/>
    <pivotField showAll="0"/>
    <pivotField showAll="0"/>
    <pivotField showAll="0"/>
    <pivotField showAll="0">
      <items count="1157">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x="1155"/>
        <item t="default"/>
      </items>
    </pivotField>
    <pivotField showAll="0"/>
    <pivotField showAll="0">
      <items count="5">
        <item x="0"/>
        <item x="1"/>
        <item x="2"/>
        <item x="3"/>
        <item t="default"/>
      </items>
    </pivotField>
    <pivotField showAll="0"/>
    <pivotField showAll="0" defaultSubtotal="0"/>
    <pivotField showAll="0" defaultSubtotal="0"/>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FE6EF7-B198-49FB-84D7-8CAC0A503431}" name="PivotTable16"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32:AA33" firstHeaderRow="1" firstDataRow="1" firstDataCol="0"/>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showAll="0"/>
    <pivotField showAll="0"/>
    <pivotField showAll="0"/>
    <pivotField showAll="0"/>
    <pivotField dataField="1" showAll="0">
      <items count="1157">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x="1155"/>
        <item t="default"/>
      </items>
    </pivotField>
    <pivotField showAll="0"/>
    <pivotField showAll="0">
      <items count="5">
        <item x="0"/>
        <item x="1"/>
        <item x="2"/>
        <item x="3"/>
        <item t="default"/>
      </items>
    </pivotField>
    <pivotField showAll="0"/>
    <pivotField showAll="0" defaultSubtotal="0"/>
    <pivotField showAll="0" defaultSubtota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A1C8F2-2113-4C27-964A-F3EC895FE099}" name="PivotTable5" cacheId="4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R2:T6" firstHeaderRow="0" firstDataRow="1" firstDataCol="1"/>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axis="axisRow" showAll="0">
      <items count="5">
        <item x="2"/>
        <item x="0"/>
        <item x="1"/>
        <item x="3"/>
        <item t="default"/>
      </items>
    </pivotField>
    <pivotField showAll="0"/>
    <pivotField showAll="0"/>
    <pivotField showAll="0"/>
    <pivotField showAll="0"/>
    <pivotField showAll="0"/>
    <pivotField dataField="1" showAll="0"/>
    <pivotField dataField="1" showAll="0"/>
    <pivotField showAll="0"/>
    <pivotField showAll="0">
      <items count="5">
        <item x="0"/>
        <item x="1"/>
        <item x="2"/>
        <item x="3"/>
        <item t="default"/>
      </items>
    </pivotField>
    <pivotField showAll="0"/>
    <pivotField showAll="0" defaultSubtotal="0"/>
    <pivotField showAll="0" defaultSubtotal="0"/>
  </pivotFields>
  <rowFields count="1">
    <field x="4"/>
  </rowFields>
  <rowItems count="4">
    <i>
      <x/>
    </i>
    <i>
      <x v="1"/>
    </i>
    <i>
      <x v="2"/>
    </i>
    <i>
      <x v="3"/>
    </i>
  </rowItems>
  <colFields count="1">
    <field x="-2"/>
  </colFields>
  <colItems count="2">
    <i>
      <x/>
    </i>
    <i i="1">
      <x v="1"/>
    </i>
  </colItems>
  <dataFields count="2">
    <dataField name="Sum of Revenue" fld="10" baseField="0" baseItem="0"/>
    <dataField name="Sum of Profit" fld="11" baseField="0" baseItem="0"/>
  </dataFields>
  <formats count="2">
    <format dxfId="87">
      <pivotArea outline="0" collapsedLevelsAreSubtotals="1" fieldPosition="0"/>
    </format>
    <format dxfId="86">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8F2903-DB66-4793-B7E3-AC32D06162D6}" name="PivotTable15"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28:AA29" firstHeaderRow="1" firstDataRow="1" firstDataCol="0"/>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showAll="0"/>
    <pivotField showAll="0"/>
    <pivotField showAll="0"/>
    <pivotField dataField="1" showAll="0"/>
    <pivotField showAll="0"/>
    <pivotField showAll="0"/>
    <pivotField showAll="0">
      <items count="5">
        <item x="0"/>
        <item x="1"/>
        <item x="2"/>
        <item x="3"/>
        <item t="default"/>
      </items>
    </pivotField>
    <pivotField showAll="0"/>
    <pivotField showAll="0" defaultSubtotal="0"/>
    <pivotField showAll="0" defaultSubtotal="0"/>
  </pivotFields>
  <rowItems count="1">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9E10A8-AFDA-4625-8E33-F8CE941D82D9}" name="PivotTable3" cacheId="4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A21:B68" firstHeaderRow="1" firstDataRow="1" firstDataCol="1"/>
  <pivotFields count="17">
    <pivotField showAll="0"/>
    <pivotField axis="axisRow" showAll="0">
      <items count="15">
        <item x="0"/>
        <item x="1"/>
        <item x="2"/>
        <item x="3"/>
        <item x="4"/>
        <item x="5"/>
        <item x="6"/>
        <item x="7"/>
        <item x="8"/>
        <item x="9"/>
        <item x="10"/>
        <item x="11"/>
        <item x="12"/>
        <item h="1" x="13"/>
        <item t="default"/>
      </items>
    </pivotField>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showAll="0"/>
    <pivotField showAll="0"/>
    <pivotField showAll="0"/>
    <pivotField dataField="1" showAll="0"/>
    <pivotField showAll="0"/>
    <pivotField showAll="0"/>
    <pivotField showAll="0">
      <items count="5">
        <item x="0"/>
        <item x="1"/>
        <item x="2"/>
        <item x="3"/>
        <item t="default"/>
      </items>
    </pivotField>
    <pivotField showAll="0"/>
    <pivotField axis="axisRow" showAll="0">
      <items count="7">
        <item h="1" sd="0" x="0"/>
        <item x="1"/>
        <item x="2"/>
        <item x="3"/>
        <item x="4"/>
        <item h="1" sd="0" x="5"/>
        <item t="default"/>
      </items>
    </pivotField>
    <pivotField axis="axisRow" showAll="0">
      <items count="6">
        <item sd="0" x="0"/>
        <item x="1"/>
        <item x="2"/>
        <item x="3"/>
        <item sd="0" x="4"/>
        <item t="default"/>
      </items>
    </pivotField>
  </pivotFields>
  <rowFields count="3">
    <field x="16"/>
    <field x="15"/>
    <field x="1"/>
  </rowFields>
  <rowItems count="47">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rowItems>
  <colItems count="1">
    <i/>
  </colItems>
  <dataFields count="1">
    <dataField name="Sum of Revenue" fld="10" baseField="0" baseItem="0" numFmtId="1"/>
  </dataFields>
  <formats count="2">
    <format dxfId="89">
      <pivotArea outline="0" collapsedLevelsAreSubtotals="1" fieldPosition="0"/>
    </format>
    <format dxfId="8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19C27C-8B84-4F65-A1D8-9766B77E3D9E}" name="PivotTable14"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G10" firstHeaderRow="0" firstDataRow="1" firstDataCol="1"/>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showAll="0"/>
    <pivotField showAll="0"/>
    <pivotField axis="axisRow" showAll="0">
      <items count="7">
        <item x="0"/>
        <item x="3"/>
        <item x="2"/>
        <item x="1"/>
        <item x="4"/>
        <item x="5"/>
        <item t="default"/>
      </items>
    </pivotField>
    <pivotField dataField="1" showAll="0"/>
    <pivotField dataField="1" showAll="0"/>
    <pivotField showAll="0"/>
    <pivotField showAll="0">
      <items count="5">
        <item x="0"/>
        <item x="1"/>
        <item x="2"/>
        <item x="3"/>
        <item t="default"/>
      </items>
    </pivotField>
    <pivotField showAll="0">
      <items count="10">
        <item x="2"/>
        <item x="4"/>
        <item x="7"/>
        <item x="1"/>
        <item x="5"/>
        <item x="0"/>
        <item x="3"/>
        <item x="6"/>
        <item x="8"/>
        <item t="default"/>
      </items>
    </pivotField>
    <pivotField showAll="0" defaultSubtotal="0"/>
    <pivotField showAll="0" defaultSubtotal="0"/>
  </pivotFields>
  <rowFields count="1">
    <field x="9"/>
  </rowFields>
  <rowItems count="7">
    <i>
      <x/>
    </i>
    <i>
      <x v="1"/>
    </i>
    <i>
      <x v="2"/>
    </i>
    <i>
      <x v="3"/>
    </i>
    <i>
      <x v="4"/>
    </i>
    <i>
      <x v="5"/>
    </i>
    <i t="grand">
      <x/>
    </i>
  </rowItems>
  <colFields count="1">
    <field x="-2"/>
  </colFields>
  <colItems count="2">
    <i>
      <x/>
    </i>
    <i i="1">
      <x v="1"/>
    </i>
  </colItems>
  <dataFields count="2">
    <dataField name="Sum of Revenue" fld="10"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74949A-B195-44CC-9B7B-1A9F63CD53FA}" name="PivotTable11"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3" firstHeaderRow="0" firstDataRow="1" firstDataCol="1"/>
  <pivotFields count="17">
    <pivotField showAll="0"/>
    <pivotField showAll="0"/>
    <pivotField showAll="0"/>
    <pivotField showAll="0">
      <items count="22">
        <item x="5"/>
        <item x="16"/>
        <item x="7"/>
        <item x="1"/>
        <item x="10"/>
        <item x="19"/>
        <item x="4"/>
        <item x="3"/>
        <item x="14"/>
        <item x="12"/>
        <item x="17"/>
        <item x="8"/>
        <item x="18"/>
        <item x="2"/>
        <item x="0"/>
        <item x="9"/>
        <item x="11"/>
        <item x="6"/>
        <item x="15"/>
        <item x="13"/>
        <item x="20"/>
        <item t="default"/>
      </items>
    </pivotField>
    <pivotField showAll="0">
      <items count="5">
        <item x="2"/>
        <item x="0"/>
        <item x="1"/>
        <item x="3"/>
        <item t="default"/>
      </items>
    </pivotField>
    <pivotField showAll="0"/>
    <pivotField showAll="0"/>
    <pivotField dataField="1" showAll="0"/>
    <pivotField showAll="0"/>
    <pivotField showAll="0"/>
    <pivotField dataField="1" showAll="0"/>
    <pivotField showAll="0"/>
    <pivotField showAll="0"/>
    <pivotField showAll="0">
      <items count="5">
        <item x="0"/>
        <item x="1"/>
        <item x="2"/>
        <item x="3"/>
        <item t="default"/>
      </items>
    </pivotField>
    <pivotField axis="axisRow" showAll="0">
      <items count="10">
        <item x="2"/>
        <item x="4"/>
        <item x="7"/>
        <item x="1"/>
        <item x="5"/>
        <item x="0"/>
        <item x="3"/>
        <item x="6"/>
        <item x="8"/>
        <item t="default"/>
      </items>
    </pivotField>
    <pivotField showAll="0" defaultSubtotal="0"/>
    <pivotField showAll="0" defaultSubtota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Sum of Revenue" fld="10" baseField="0" baseItem="0"/>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63F3761-F784-4464-BBEC-790D2AFE18E9}" sourceName="Product_Name">
  <pivotTables>
    <pivotTable tabId="4" name="PivotTable2"/>
    <pivotTable tabId="4" name="PivotTable10"/>
    <pivotTable tabId="4" name="PivotTable15"/>
    <pivotTable tabId="4" name="PivotTable16"/>
    <pivotTable tabId="4" name="PivotTable17"/>
    <pivotTable tabId="4" name="PivotTable3"/>
    <pivotTable tabId="4" name="PivotTable5"/>
    <pivotTable tabId="4" name="PivotTable6"/>
    <pivotTable tabId="4" name="PivotTable7"/>
    <pivotTable tabId="6" name="PivotTable11"/>
    <pivotTable tabId="6" name="PivotTable14"/>
  </pivotTables>
  <data>
    <tabular pivotCacheId="1252767248">
      <items count="21">
        <i x="5" s="1"/>
        <i x="16" s="1"/>
        <i x="7" s="1"/>
        <i x="1" s="1"/>
        <i x="10" s="1"/>
        <i x="19" s="1"/>
        <i x="4" s="1"/>
        <i x="3" s="1"/>
        <i x="14" s="1"/>
        <i x="12" s="1"/>
        <i x="17" s="1"/>
        <i x="8" s="1"/>
        <i x="18" s="1"/>
        <i x="2" s="1"/>
        <i x="0" s="1"/>
        <i x="9" s="1"/>
        <i x="11" s="1"/>
        <i x="6" s="1"/>
        <i x="15" s="1"/>
        <i x="13" s="1"/>
        <i x="2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6B7E527-E252-40D9-9C35-2CF3F880A305}" sourceName="Gender">
  <pivotTables>
    <pivotTable tabId="4" name="PivotTable3"/>
    <pivotTable tabId="4" name="PivotTable10"/>
    <pivotTable tabId="4" name="PivotTable15"/>
    <pivotTable tabId="4" name="PivotTable16"/>
    <pivotTable tabId="4" name="PivotTable17"/>
    <pivotTable tabId="4" name="PivotTable2"/>
    <pivotTable tabId="4" name="PivotTable5"/>
    <pivotTable tabId="4" name="PivotTable6"/>
    <pivotTable tabId="4" name="PivotTable7"/>
    <pivotTable tabId="6" name="PivotTable11"/>
    <pivotTable tabId="6" name="PivotTable14"/>
  </pivotTables>
  <data>
    <tabular pivotCacheId="1252767248">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15032F6-BDD4-4BE3-9DA0-A161D2C1C89C}" sourceName="Category">
  <pivotTables>
    <pivotTable tabId="4" name="PivotTable5"/>
    <pivotTable tabId="4" name="PivotTable10"/>
    <pivotTable tabId="4" name="PivotTable15"/>
    <pivotTable tabId="4" name="PivotTable16"/>
    <pivotTable tabId="4" name="PivotTable17"/>
    <pivotTable tabId="4" name="PivotTable2"/>
    <pivotTable tabId="4" name="PivotTable3"/>
    <pivotTable tabId="4" name="PivotTable6"/>
    <pivotTable tabId="4" name="PivotTable7"/>
    <pivotTable tabId="6" name="PivotTable11"/>
    <pivotTable tabId="6" name="PivotTable14"/>
  </pivotTables>
  <data>
    <tabular pivotCacheId="1252767248">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593D2A41-432B-42F5-99A2-EA36D3EB43E9}" cache="Slicer_Product_Name" caption="Product_Name" rowHeight="234950"/>
  <slicer name="Gender" xr10:uid="{6D281BD5-7F3D-4D22-9367-90522231D77C}" cache="Slicer_Gender" caption="Gender" rowHeight="234950"/>
  <slicer name="Category" xr10:uid="{75C00059-7CCB-41BC-A87E-48F8A5D1B0CF}"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16AAE328-19B1-4376-BC2D-185C946C6533}" cache="Slicer_Product_Name" caption="Product_Name" rowHeight="234950"/>
  <slicer name="Gender 1" xr10:uid="{611766B2-EFF0-427A-BF42-FEABB170B8A8}" cache="Slicer_Gender" caption="Gender" rowHeight="234950"/>
  <slicer name="Category 1" xr10:uid="{1E4DECA3-05A7-49DA-9F29-EFAD75006DED}"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9B724-A749-40B3-B2AD-9467C00FF7B3}">
  <dimension ref="A1:AM68"/>
  <sheetViews>
    <sheetView zoomScale="40" zoomScaleNormal="40" workbookViewId="0">
      <selection activeCell="Z55" sqref="Z55"/>
    </sheetView>
  </sheetViews>
  <sheetFormatPr defaultRowHeight="13.8"/>
  <cols>
    <col min="1" max="1" width="19.09765625" bestFit="1" customWidth="1"/>
    <col min="2" max="2" width="19.8984375" style="10" bestFit="1" customWidth="1"/>
    <col min="3" max="3" width="17.09765625" bestFit="1" customWidth="1"/>
    <col min="15" max="15" width="8.796875" customWidth="1"/>
    <col min="18" max="18" width="19.09765625" bestFit="1" customWidth="1"/>
    <col min="19" max="19" width="19.8984375" style="10" bestFit="1" customWidth="1"/>
    <col min="20" max="20" width="17.09765625" style="10" bestFit="1" customWidth="1"/>
    <col min="22" max="22" width="26.3984375" bestFit="1" customWidth="1"/>
    <col min="23" max="23" width="19.8984375" style="10" bestFit="1" customWidth="1"/>
    <col min="27" max="27" width="22.59765625" bestFit="1" customWidth="1"/>
    <col min="28" max="28" width="19.09765625" bestFit="1" customWidth="1"/>
    <col min="29" max="29" width="19.8984375" style="10" bestFit="1" customWidth="1"/>
    <col min="32" max="32" width="19.09765625" bestFit="1" customWidth="1"/>
    <col min="33" max="33" width="19.8984375" style="10" bestFit="1" customWidth="1"/>
    <col min="37" max="37" width="13.19921875" bestFit="1" customWidth="1"/>
    <col min="38" max="38" width="18.5" style="10" bestFit="1" customWidth="1"/>
    <col min="39" max="39" width="20.59765625" bestFit="1" customWidth="1"/>
  </cols>
  <sheetData>
    <row r="1" spans="1:39">
      <c r="B1" s="10" t="s">
        <v>1265</v>
      </c>
      <c r="S1" s="11" t="s">
        <v>1267</v>
      </c>
    </row>
    <row r="2" spans="1:39">
      <c r="R2" s="5" t="s">
        <v>1242</v>
      </c>
      <c r="S2" s="10" t="s">
        <v>1264</v>
      </c>
      <c r="T2" s="10" t="s">
        <v>1266</v>
      </c>
      <c r="V2" s="5" t="s">
        <v>1242</v>
      </c>
      <c r="W2" s="10" t="s">
        <v>1264</v>
      </c>
      <c r="AB2" s="5" t="s">
        <v>1242</v>
      </c>
      <c r="AC2" s="10" t="s">
        <v>1264</v>
      </c>
      <c r="AF2" s="5" t="s">
        <v>1242</v>
      </c>
      <c r="AG2" s="10" t="s">
        <v>1264</v>
      </c>
      <c r="AK2" s="9" t="s">
        <v>1242</v>
      </c>
      <c r="AL2" s="12" t="s">
        <v>1264</v>
      </c>
      <c r="AM2" s="9" t="s">
        <v>1268</v>
      </c>
    </row>
    <row r="3" spans="1:39">
      <c r="A3" s="5" t="s">
        <v>1242</v>
      </c>
      <c r="B3" t="s">
        <v>1264</v>
      </c>
      <c r="C3" t="s">
        <v>1266</v>
      </c>
      <c r="R3" s="4" t="s">
        <v>30</v>
      </c>
      <c r="S3" s="10">
        <v>30994.470000000016</v>
      </c>
      <c r="T3" s="10">
        <v>10185.759999999998</v>
      </c>
      <c r="V3" s="4" t="s">
        <v>1243</v>
      </c>
      <c r="AB3" s="4" t="s">
        <v>1237</v>
      </c>
      <c r="AC3" s="10">
        <v>86027.88</v>
      </c>
      <c r="AF3" s="4" t="s">
        <v>18</v>
      </c>
      <c r="AG3" s="10">
        <v>133207.11999999997</v>
      </c>
      <c r="AK3" s="4" t="s">
        <v>35</v>
      </c>
      <c r="AL3" s="10">
        <v>42348.679999999993</v>
      </c>
      <c r="AM3" s="8">
        <v>478</v>
      </c>
    </row>
    <row r="4" spans="1:39">
      <c r="A4" s="4" t="s">
        <v>1245</v>
      </c>
      <c r="B4" s="10">
        <v>107348.43000000001</v>
      </c>
      <c r="C4" s="10">
        <v>31589.999999999993</v>
      </c>
      <c r="R4" s="4" t="s">
        <v>17</v>
      </c>
      <c r="S4" s="10">
        <v>77377.83000000006</v>
      </c>
      <c r="T4" s="10">
        <v>22056.459999999981</v>
      </c>
      <c r="V4" s="4" t="s">
        <v>45</v>
      </c>
      <c r="W4" s="10">
        <v>2581.6100000000006</v>
      </c>
      <c r="AB4" s="4" t="s">
        <v>1241</v>
      </c>
      <c r="AC4" s="10">
        <v>81724.559999999969</v>
      </c>
      <c r="AF4" s="4" t="s">
        <v>48</v>
      </c>
      <c r="AG4" s="10">
        <v>33516.269999999997</v>
      </c>
      <c r="AK4" s="4" t="s">
        <v>20</v>
      </c>
      <c r="AL4" s="10">
        <v>39117.770000000004</v>
      </c>
      <c r="AM4" s="8">
        <v>460</v>
      </c>
    </row>
    <row r="5" spans="1:39">
      <c r="A5" s="6" t="s">
        <v>1246</v>
      </c>
      <c r="B5" s="10">
        <v>21037.48000000001</v>
      </c>
      <c r="C5" s="10">
        <v>5910.1100000000033</v>
      </c>
      <c r="R5" s="4" t="s">
        <v>25</v>
      </c>
      <c r="S5" s="10">
        <v>179005.61999999988</v>
      </c>
      <c r="T5" s="10">
        <v>52827.629999999939</v>
      </c>
      <c r="V5" s="4" t="s">
        <v>22</v>
      </c>
      <c r="W5" s="10">
        <v>3033.2400000000016</v>
      </c>
      <c r="AB5" s="4" t="s">
        <v>1239</v>
      </c>
      <c r="AC5" s="10">
        <v>32966.340000000004</v>
      </c>
      <c r="AF5" s="4" t="s">
        <v>31</v>
      </c>
      <c r="AG5" s="10">
        <v>102147.07999999997</v>
      </c>
      <c r="AK5" s="4" t="s">
        <v>32</v>
      </c>
      <c r="AL5" s="10">
        <v>38598.590000000004</v>
      </c>
      <c r="AM5" s="8">
        <v>491</v>
      </c>
    </row>
    <row r="6" spans="1:39">
      <c r="A6" s="6" t="s">
        <v>1250</v>
      </c>
      <c r="B6" s="10">
        <v>28726.329999999991</v>
      </c>
      <c r="C6" s="10">
        <v>8748.1099999999951</v>
      </c>
      <c r="R6" s="4" t="s">
        <v>1243</v>
      </c>
      <c r="V6" s="4" t="s">
        <v>29</v>
      </c>
      <c r="W6" s="10">
        <v>3339.7099999999996</v>
      </c>
      <c r="AB6" s="4" t="s">
        <v>1240</v>
      </c>
      <c r="AC6" s="10">
        <v>17601.979999999996</v>
      </c>
      <c r="AF6" s="4" t="s">
        <v>64</v>
      </c>
      <c r="AG6" s="10">
        <v>18507.449999999997</v>
      </c>
      <c r="AK6" s="4" t="s">
        <v>27</v>
      </c>
      <c r="AL6" s="10">
        <v>38181.170000000006</v>
      </c>
      <c r="AM6" s="8">
        <v>465</v>
      </c>
    </row>
    <row r="7" spans="1:39">
      <c r="A7" s="6" t="s">
        <v>1254</v>
      </c>
      <c r="B7" s="10">
        <v>26262.350000000002</v>
      </c>
      <c r="C7" s="10">
        <v>7737.29</v>
      </c>
      <c r="V7" s="4" t="s">
        <v>56</v>
      </c>
      <c r="W7" s="10">
        <v>3971.5299999999997</v>
      </c>
      <c r="AB7" s="4" t="s">
        <v>1238</v>
      </c>
      <c r="AC7" s="10">
        <v>69057.16</v>
      </c>
      <c r="AK7" s="4" t="s">
        <v>51</v>
      </c>
      <c r="AL7" s="10">
        <v>35369.94</v>
      </c>
      <c r="AM7" s="8">
        <v>463</v>
      </c>
    </row>
    <row r="8" spans="1:39">
      <c r="A8" s="6" t="s">
        <v>1258</v>
      </c>
      <c r="B8" s="10">
        <v>31322.27</v>
      </c>
      <c r="C8" s="10">
        <v>9194.4899999999961</v>
      </c>
      <c r="V8" s="4" t="s">
        <v>53</v>
      </c>
      <c r="W8" s="10">
        <v>3972.639999999999</v>
      </c>
      <c r="AK8" s="4" t="s">
        <v>43</v>
      </c>
      <c r="AL8" s="10">
        <v>33175.260000000009</v>
      </c>
      <c r="AM8" s="8">
        <v>442</v>
      </c>
    </row>
    <row r="9" spans="1:39">
      <c r="A9" s="4" t="s">
        <v>1262</v>
      </c>
      <c r="B9" s="10">
        <v>103229.75</v>
      </c>
      <c r="C9" s="10">
        <v>30505.860000000004</v>
      </c>
      <c r="V9" s="4" t="s">
        <v>59</v>
      </c>
      <c r="W9" s="10">
        <v>4828.4700000000012</v>
      </c>
      <c r="AK9" s="4" t="s">
        <v>81</v>
      </c>
      <c r="AL9" s="10">
        <v>32106.239999999987</v>
      </c>
      <c r="AM9" s="8">
        <v>394</v>
      </c>
    </row>
    <row r="10" spans="1:39">
      <c r="A10" s="6" t="s">
        <v>1246</v>
      </c>
      <c r="B10" s="10">
        <v>28801.150000000005</v>
      </c>
      <c r="C10" s="10">
        <v>8616.1900000000023</v>
      </c>
      <c r="V10" s="4" t="s">
        <v>73</v>
      </c>
      <c r="W10" s="10">
        <v>5753.0799999999981</v>
      </c>
      <c r="AK10" s="4" t="s">
        <v>46</v>
      </c>
      <c r="AL10" s="10">
        <v>28480.27</v>
      </c>
      <c r="AM10" s="8">
        <v>357</v>
      </c>
    </row>
    <row r="11" spans="1:39">
      <c r="A11" s="6" t="s">
        <v>1250</v>
      </c>
      <c r="B11" s="10">
        <v>25681.170000000009</v>
      </c>
      <c r="C11" s="10">
        <v>7786.2199999999993</v>
      </c>
      <c r="V11" s="4" t="s">
        <v>77</v>
      </c>
      <c r="W11" s="10">
        <v>6956.86</v>
      </c>
    </row>
    <row r="12" spans="1:39">
      <c r="A12" s="6" t="s">
        <v>1254</v>
      </c>
      <c r="B12" s="10">
        <v>22498.079999999994</v>
      </c>
      <c r="C12" s="10">
        <v>6499.6099999999988</v>
      </c>
      <c r="V12" s="4" t="s">
        <v>16</v>
      </c>
      <c r="W12" s="10">
        <v>7427.3499999999976</v>
      </c>
    </row>
    <row r="13" spans="1:39">
      <c r="A13" s="6" t="s">
        <v>1258</v>
      </c>
      <c r="B13" s="10">
        <v>26249.349999999995</v>
      </c>
      <c r="C13" s="10">
        <v>7603.8399999999992</v>
      </c>
      <c r="V13" s="4" t="s">
        <v>37</v>
      </c>
      <c r="W13" s="10">
        <v>10080.65</v>
      </c>
    </row>
    <row r="14" spans="1:39">
      <c r="A14" s="4" t="s">
        <v>1263</v>
      </c>
      <c r="B14" s="10">
        <v>76799.74000000002</v>
      </c>
      <c r="C14" s="10">
        <v>22973.990000000009</v>
      </c>
      <c r="V14" s="4" t="s">
        <v>34</v>
      </c>
      <c r="W14" s="10">
        <v>10172.119999999999</v>
      </c>
    </row>
    <row r="15" spans="1:39">
      <c r="A15" s="6" t="s">
        <v>1246</v>
      </c>
      <c r="B15" s="10">
        <v>24701.390000000007</v>
      </c>
      <c r="C15" s="10">
        <v>7429.2000000000025</v>
      </c>
      <c r="V15" s="4" t="s">
        <v>87</v>
      </c>
      <c r="W15" s="10">
        <v>19473.910000000003</v>
      </c>
    </row>
    <row r="16" spans="1:39">
      <c r="A16" s="6" t="s">
        <v>1250</v>
      </c>
      <c r="B16" s="10">
        <v>26518.060000000016</v>
      </c>
      <c r="C16" s="10">
        <v>7891.7300000000005</v>
      </c>
      <c r="V16" s="4" t="s">
        <v>24</v>
      </c>
      <c r="W16" s="10">
        <v>19507.310000000009</v>
      </c>
    </row>
    <row r="17" spans="1:29">
      <c r="A17" s="6" t="s">
        <v>1254</v>
      </c>
      <c r="B17" s="10">
        <v>25580.289999999997</v>
      </c>
      <c r="C17" s="10">
        <v>7653.0600000000059</v>
      </c>
      <c r="V17" s="4" t="s">
        <v>100</v>
      </c>
      <c r="W17" s="10">
        <v>19746.080000000002</v>
      </c>
    </row>
    <row r="18" spans="1:29">
      <c r="B18"/>
      <c r="V18" s="4" t="s">
        <v>66</v>
      </c>
      <c r="W18" s="10">
        <v>24288.029999999995</v>
      </c>
    </row>
    <row r="19" spans="1:29">
      <c r="B19"/>
      <c r="V19" s="4" t="s">
        <v>39</v>
      </c>
      <c r="W19" s="10">
        <v>25555.620000000006</v>
      </c>
    </row>
    <row r="20" spans="1:29">
      <c r="V20" s="4" t="s">
        <v>42</v>
      </c>
      <c r="W20" s="10">
        <v>27178.44999999999</v>
      </c>
    </row>
    <row r="21" spans="1:29">
      <c r="A21" s="5" t="s">
        <v>1242</v>
      </c>
      <c r="B21" s="10" t="s">
        <v>1264</v>
      </c>
      <c r="V21" s="4" t="s">
        <v>62</v>
      </c>
      <c r="W21" s="10">
        <v>27720.090000000015</v>
      </c>
    </row>
    <row r="22" spans="1:29">
      <c r="A22" s="4" t="s">
        <v>1245</v>
      </c>
      <c r="B22" s="10">
        <v>107348.43000000001</v>
      </c>
      <c r="V22" s="4" t="s">
        <v>70</v>
      </c>
      <c r="W22" s="10">
        <v>30192.089999999997</v>
      </c>
    </row>
    <row r="23" spans="1:29">
      <c r="A23" s="6" t="s">
        <v>1246</v>
      </c>
      <c r="B23" s="10">
        <v>21037.48</v>
      </c>
      <c r="V23" s="4" t="s">
        <v>68</v>
      </c>
      <c r="W23" s="10">
        <v>31599.08</v>
      </c>
    </row>
    <row r="24" spans="1:29">
      <c r="A24" s="7" t="s">
        <v>1247</v>
      </c>
      <c r="B24" s="10">
        <v>8841.15</v>
      </c>
    </row>
    <row r="25" spans="1:29">
      <c r="A25" s="7" t="s">
        <v>1248</v>
      </c>
      <c r="B25" s="10">
        <v>4211.32</v>
      </c>
    </row>
    <row r="26" spans="1:29">
      <c r="A26" s="7" t="s">
        <v>1249</v>
      </c>
      <c r="B26" s="10">
        <v>7985.01</v>
      </c>
    </row>
    <row r="27" spans="1:29">
      <c r="A27" s="6" t="s">
        <v>1250</v>
      </c>
      <c r="B27" s="10">
        <v>28726.329999999998</v>
      </c>
    </row>
    <row r="28" spans="1:29">
      <c r="A28" s="7" t="s">
        <v>1251</v>
      </c>
      <c r="B28" s="10">
        <v>12515.289999999999</v>
      </c>
      <c r="AA28" t="s">
        <v>1264</v>
      </c>
      <c r="AC28"/>
    </row>
    <row r="29" spans="1:29">
      <c r="A29" s="7" t="s">
        <v>1252</v>
      </c>
      <c r="B29" s="10">
        <v>9064.7899999999991</v>
      </c>
      <c r="AA29" s="8">
        <v>287377.92000000022</v>
      </c>
      <c r="AC29"/>
    </row>
    <row r="30" spans="1:29">
      <c r="A30" s="7" t="s">
        <v>1253</v>
      </c>
      <c r="B30" s="10">
        <v>7146.25</v>
      </c>
      <c r="AC30"/>
    </row>
    <row r="31" spans="1:29">
      <c r="A31" s="6" t="s">
        <v>1254</v>
      </c>
      <c r="B31" s="10">
        <v>26262.35</v>
      </c>
      <c r="AC31"/>
    </row>
    <row r="32" spans="1:29">
      <c r="A32" s="7" t="s">
        <v>1255</v>
      </c>
      <c r="B32" s="10">
        <v>8782.35</v>
      </c>
      <c r="AA32" t="s">
        <v>1266</v>
      </c>
      <c r="AC32"/>
    </row>
    <row r="33" spans="1:29">
      <c r="A33" s="7" t="s">
        <v>1256</v>
      </c>
      <c r="B33" s="10">
        <v>8107.3900000000021</v>
      </c>
      <c r="AA33" s="8">
        <v>85069.85000000002</v>
      </c>
      <c r="AC33"/>
    </row>
    <row r="34" spans="1:29">
      <c r="A34" s="7" t="s">
        <v>1257</v>
      </c>
      <c r="B34" s="10">
        <v>9372.6099999999969</v>
      </c>
      <c r="AC34"/>
    </row>
    <row r="35" spans="1:29">
      <c r="A35" s="6" t="s">
        <v>1258</v>
      </c>
      <c r="B35" s="10">
        <v>31322.27</v>
      </c>
      <c r="AC35"/>
    </row>
    <row r="36" spans="1:29">
      <c r="A36" s="7" t="s">
        <v>1259</v>
      </c>
      <c r="B36" s="10">
        <v>12775.49</v>
      </c>
      <c r="AA36" t="s">
        <v>1268</v>
      </c>
      <c r="AC36"/>
    </row>
    <row r="37" spans="1:29">
      <c r="A37" s="7" t="s">
        <v>1260</v>
      </c>
      <c r="B37" s="10">
        <v>8672.510000000002</v>
      </c>
      <c r="AA37" s="8">
        <v>3550</v>
      </c>
      <c r="AC37"/>
    </row>
    <row r="38" spans="1:29">
      <c r="A38" s="7" t="s">
        <v>1261</v>
      </c>
      <c r="B38" s="10">
        <v>9874.27</v>
      </c>
      <c r="AC38"/>
    </row>
    <row r="39" spans="1:29">
      <c r="A39" s="4" t="s">
        <v>1262</v>
      </c>
      <c r="B39" s="10">
        <v>103229.74999999999</v>
      </c>
      <c r="AC39"/>
    </row>
    <row r="40" spans="1:29">
      <c r="A40" s="6" t="s">
        <v>1246</v>
      </c>
      <c r="B40" s="10">
        <v>28801.149999999994</v>
      </c>
      <c r="AC40"/>
    </row>
    <row r="41" spans="1:29">
      <c r="A41" s="7" t="s">
        <v>1247</v>
      </c>
      <c r="B41" s="10">
        <v>10026.959999999999</v>
      </c>
      <c r="AC41"/>
    </row>
    <row r="42" spans="1:29">
      <c r="A42" s="7" t="s">
        <v>1248</v>
      </c>
      <c r="B42" s="10">
        <v>6106.71</v>
      </c>
      <c r="AC42"/>
    </row>
    <row r="43" spans="1:29">
      <c r="A43" s="7" t="s">
        <v>1249</v>
      </c>
      <c r="B43" s="10">
        <v>12667.479999999996</v>
      </c>
      <c r="AC43"/>
    </row>
    <row r="44" spans="1:29">
      <c r="A44" s="6" t="s">
        <v>1250</v>
      </c>
      <c r="B44" s="10">
        <v>25681.170000000002</v>
      </c>
      <c r="AC44"/>
    </row>
    <row r="45" spans="1:29">
      <c r="A45" s="7" t="s">
        <v>1251</v>
      </c>
      <c r="B45" s="10">
        <v>5660.27</v>
      </c>
      <c r="AC45"/>
    </row>
    <row r="46" spans="1:29">
      <c r="A46" s="7" t="s">
        <v>1252</v>
      </c>
      <c r="B46" s="10">
        <v>11431.88</v>
      </c>
      <c r="AC46"/>
    </row>
    <row r="47" spans="1:29">
      <c r="A47" s="7" t="s">
        <v>1253</v>
      </c>
      <c r="B47" s="10">
        <v>8589.02</v>
      </c>
      <c r="AC47"/>
    </row>
    <row r="48" spans="1:29">
      <c r="A48" s="6" t="s">
        <v>1254</v>
      </c>
      <c r="B48" s="10">
        <v>22498.080000000002</v>
      </c>
      <c r="AC48"/>
    </row>
    <row r="49" spans="1:29">
      <c r="A49" s="7" t="s">
        <v>1255</v>
      </c>
      <c r="B49" s="10">
        <v>7167.1499999999987</v>
      </c>
      <c r="AC49"/>
    </row>
    <row r="50" spans="1:29">
      <c r="A50" s="7" t="s">
        <v>1256</v>
      </c>
      <c r="B50" s="10">
        <v>7369.3200000000015</v>
      </c>
    </row>
    <row r="51" spans="1:29">
      <c r="A51" s="7" t="s">
        <v>1257</v>
      </c>
      <c r="B51" s="10">
        <v>7961.6099999999988</v>
      </c>
    </row>
    <row r="52" spans="1:29">
      <c r="A52" s="6" t="s">
        <v>1258</v>
      </c>
      <c r="B52" s="10">
        <v>26249.35</v>
      </c>
    </row>
    <row r="53" spans="1:29">
      <c r="A53" s="7" t="s">
        <v>1259</v>
      </c>
      <c r="B53" s="10">
        <v>7454.29</v>
      </c>
    </row>
    <row r="54" spans="1:29">
      <c r="A54" s="7" t="s">
        <v>1260</v>
      </c>
      <c r="B54" s="10">
        <v>7457.0300000000007</v>
      </c>
    </row>
    <row r="55" spans="1:29">
      <c r="A55" s="7" t="s">
        <v>1261</v>
      </c>
      <c r="B55" s="10">
        <v>11338.03</v>
      </c>
    </row>
    <row r="56" spans="1:29">
      <c r="A56" s="4" t="s">
        <v>1263</v>
      </c>
      <c r="B56" s="10">
        <v>76799.739999999991</v>
      </c>
    </row>
    <row r="57" spans="1:29">
      <c r="A57" s="6" t="s">
        <v>1246</v>
      </c>
      <c r="B57" s="10">
        <v>24701.39</v>
      </c>
    </row>
    <row r="58" spans="1:29">
      <c r="A58" s="7" t="s">
        <v>1247</v>
      </c>
      <c r="B58" s="10">
        <v>7163.28</v>
      </c>
    </row>
    <row r="59" spans="1:29">
      <c r="A59" s="7" t="s">
        <v>1248</v>
      </c>
      <c r="B59" s="10">
        <v>8547.43</v>
      </c>
    </row>
    <row r="60" spans="1:29">
      <c r="A60" s="7" t="s">
        <v>1249</v>
      </c>
      <c r="B60" s="10">
        <v>8990.6799999999985</v>
      </c>
    </row>
    <row r="61" spans="1:29">
      <c r="A61" s="6" t="s">
        <v>1250</v>
      </c>
      <c r="B61" s="10">
        <v>26518.059999999998</v>
      </c>
    </row>
    <row r="62" spans="1:29">
      <c r="A62" s="7" t="s">
        <v>1251</v>
      </c>
      <c r="B62" s="10">
        <v>7592.3999999999987</v>
      </c>
    </row>
    <row r="63" spans="1:29">
      <c r="A63" s="7" t="s">
        <v>1252</v>
      </c>
      <c r="B63" s="10">
        <v>9179.5999999999967</v>
      </c>
    </row>
    <row r="64" spans="1:29">
      <c r="A64" s="7" t="s">
        <v>1253</v>
      </c>
      <c r="B64" s="10">
        <v>9746.06</v>
      </c>
    </row>
    <row r="65" spans="1:2">
      <c r="A65" s="6" t="s">
        <v>1254</v>
      </c>
      <c r="B65" s="10">
        <v>25580.29</v>
      </c>
    </row>
    <row r="66" spans="1:2">
      <c r="A66" s="7" t="s">
        <v>1255</v>
      </c>
      <c r="B66" s="10">
        <v>6539.3200000000015</v>
      </c>
    </row>
    <row r="67" spans="1:2">
      <c r="A67" s="7" t="s">
        <v>1256</v>
      </c>
      <c r="B67" s="10">
        <v>8158.16</v>
      </c>
    </row>
    <row r="68" spans="1:2">
      <c r="A68" s="7" t="s">
        <v>1257</v>
      </c>
      <c r="B68" s="10">
        <v>10882.809999999998</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E73C7-EADE-422C-9472-4E8D2E63D8C5}">
  <dimension ref="A3:G13"/>
  <sheetViews>
    <sheetView workbookViewId="0">
      <selection activeCell="G7" sqref="G7"/>
    </sheetView>
  </sheetViews>
  <sheetFormatPr defaultRowHeight="13.8"/>
  <cols>
    <col min="1" max="1" width="13.09765625" bestFit="1" customWidth="1"/>
    <col min="2" max="2" width="15.59765625" bestFit="1" customWidth="1"/>
    <col min="3" max="3" width="17.19921875" bestFit="1" customWidth="1"/>
    <col min="5" max="5" width="13.09765625" bestFit="1" customWidth="1"/>
    <col min="6" max="6" width="15.59765625" bestFit="1" customWidth="1"/>
    <col min="7" max="7" width="12.296875" bestFit="1" customWidth="1"/>
  </cols>
  <sheetData>
    <row r="3" spans="1:7">
      <c r="A3" s="5" t="s">
        <v>1242</v>
      </c>
      <c r="B3" t="s">
        <v>1264</v>
      </c>
      <c r="C3" t="s">
        <v>1268</v>
      </c>
      <c r="D3" s="13"/>
      <c r="E3" s="5" t="s">
        <v>1242</v>
      </c>
      <c r="F3" t="s">
        <v>1264</v>
      </c>
      <c r="G3" t="s">
        <v>1266</v>
      </c>
    </row>
    <row r="4" spans="1:7">
      <c r="A4" s="4" t="s">
        <v>32</v>
      </c>
      <c r="B4" s="8">
        <v>38598.590000000004</v>
      </c>
      <c r="C4" s="8">
        <v>491</v>
      </c>
      <c r="E4" s="4">
        <v>0</v>
      </c>
      <c r="F4" s="8">
        <v>153521.76</v>
      </c>
      <c r="G4" s="8">
        <v>45574.249999999993</v>
      </c>
    </row>
    <row r="5" spans="1:7">
      <c r="A5" s="4" t="s">
        <v>43</v>
      </c>
      <c r="B5" s="8">
        <v>33175.260000000009</v>
      </c>
      <c r="C5" s="8">
        <v>442</v>
      </c>
      <c r="E5" s="4">
        <v>5</v>
      </c>
      <c r="F5" s="8">
        <v>55899.22</v>
      </c>
      <c r="G5" s="8">
        <v>16746.109999999993</v>
      </c>
    </row>
    <row r="6" spans="1:7">
      <c r="A6" s="4" t="s">
        <v>81</v>
      </c>
      <c r="B6" s="8">
        <v>32106.239999999987</v>
      </c>
      <c r="C6" s="8">
        <v>394</v>
      </c>
      <c r="E6" s="4">
        <v>10</v>
      </c>
      <c r="F6" s="8">
        <v>45765.780000000006</v>
      </c>
      <c r="G6" s="8">
        <v>13509.770000000002</v>
      </c>
    </row>
    <row r="7" spans="1:7">
      <c r="A7" s="4" t="s">
        <v>27</v>
      </c>
      <c r="B7" s="8">
        <v>38181.170000000006</v>
      </c>
      <c r="C7" s="8">
        <v>465</v>
      </c>
      <c r="E7" s="4">
        <v>20</v>
      </c>
      <c r="F7" s="8">
        <v>26041.48000000001</v>
      </c>
      <c r="G7" s="8">
        <v>7391.25</v>
      </c>
    </row>
    <row r="8" spans="1:7">
      <c r="A8" s="4" t="s">
        <v>46</v>
      </c>
      <c r="B8" s="8">
        <v>28480.27</v>
      </c>
      <c r="C8" s="8">
        <v>357</v>
      </c>
      <c r="E8" s="4">
        <v>40</v>
      </c>
      <c r="F8" s="8">
        <v>6149.68</v>
      </c>
      <c r="G8" s="8">
        <v>1848.4700000000003</v>
      </c>
    </row>
    <row r="9" spans="1:7">
      <c r="A9" s="4" t="s">
        <v>20</v>
      </c>
      <c r="B9" s="8">
        <v>39117.770000000004</v>
      </c>
      <c r="C9" s="8">
        <v>460</v>
      </c>
      <c r="E9" s="4" t="s">
        <v>1243</v>
      </c>
      <c r="F9" s="8"/>
      <c r="G9" s="8"/>
    </row>
    <row r="10" spans="1:7">
      <c r="A10" s="4" t="s">
        <v>35</v>
      </c>
      <c r="B10" s="8">
        <v>42348.679999999993</v>
      </c>
      <c r="C10" s="8">
        <v>478</v>
      </c>
      <c r="E10" s="4" t="s">
        <v>1244</v>
      </c>
      <c r="F10" s="8">
        <v>287377.91999999998</v>
      </c>
      <c r="G10" s="8">
        <v>85069.849999999991</v>
      </c>
    </row>
    <row r="11" spans="1:7">
      <c r="A11" s="4" t="s">
        <v>51</v>
      </c>
      <c r="B11" s="8">
        <v>35369.94</v>
      </c>
      <c r="C11" s="8">
        <v>463</v>
      </c>
    </row>
    <row r="12" spans="1:7">
      <c r="A12" s="4" t="s">
        <v>1243</v>
      </c>
      <c r="B12" s="8"/>
      <c r="C12" s="8"/>
    </row>
    <row r="13" spans="1:7">
      <c r="A13" s="4" t="s">
        <v>1244</v>
      </c>
      <c r="B13" s="8">
        <v>287377.91999999998</v>
      </c>
      <c r="C13" s="8">
        <v>3550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activeCell="H10" sqref="H10"/>
    </sheetView>
  </sheetViews>
  <sheetFormatPr defaultRowHeight="13.8"/>
  <cols>
    <col min="1" max="1" width="12.796875" bestFit="1" customWidth="1"/>
    <col min="2" max="2" width="14.8984375" bestFit="1" customWidth="1"/>
    <col min="3" max="3" width="9.8984375" bestFit="1" customWidth="1"/>
    <col min="4" max="4" width="24" bestFit="1" customWidth="1"/>
    <col min="5" max="5" width="12.796875" bestFit="1" customWidth="1"/>
    <col min="6" max="6" width="11" bestFit="1" customWidth="1"/>
    <col min="7" max="7" width="14.59765625" bestFit="1" customWidth="1"/>
    <col min="8" max="8" width="18.3984375" customWidth="1"/>
    <col min="9" max="9" width="14" bestFit="1" customWidth="1"/>
    <col min="10" max="10" width="12.796875" bestFit="1" customWidth="1"/>
    <col min="11" max="11" width="12.3984375" bestFit="1" customWidth="1"/>
    <col min="12" max="12" width="10" bestFit="1" customWidth="1"/>
    <col min="13" max="13" width="17.296875" bestFit="1" customWidth="1"/>
    <col min="14" max="14" width="11.59765625" bestFit="1" customWidth="1"/>
    <col min="15" max="15" width="19.8984375" bestFit="1" customWidth="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autoFilter ref="A1:O1201" xr:uid="{2F32FF2C-822D-4AEB-8D68-84B1E86E452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H13:H17"/>
  <sheetViews>
    <sheetView topLeftCell="C1" zoomScale="118" workbookViewId="0">
      <selection activeCell="I14" sqref="I14"/>
    </sheetView>
  </sheetViews>
  <sheetFormatPr defaultRowHeight="13.8"/>
  <cols>
    <col min="2" max="3" width="12.3984375" bestFit="1" customWidth="1"/>
    <col min="4" max="4" width="11.59765625" bestFit="1" customWidth="1"/>
    <col min="7" max="7" width="16.8984375" bestFit="1" customWidth="1"/>
    <col min="8" max="8" width="9" bestFit="1" customWidth="1"/>
  </cols>
  <sheetData>
    <row r="13" spans="8:8">
      <c r="H13" s="4"/>
    </row>
    <row r="14" spans="8:8">
      <c r="H14" s="4"/>
    </row>
    <row r="15" spans="8:8">
      <c r="H15" s="4"/>
    </row>
    <row r="16" spans="8:8">
      <c r="H16" s="4"/>
    </row>
    <row r="17" spans="8:8">
      <c r="H1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B4:S7"/>
  <sheetViews>
    <sheetView showGridLines="0" tabSelected="1" view="pageBreakPreview" topLeftCell="B1" zoomScale="40" zoomScaleNormal="70" zoomScaleSheetLayoutView="40" workbookViewId="0">
      <selection activeCell="P5" sqref="P5"/>
    </sheetView>
  </sheetViews>
  <sheetFormatPr defaultRowHeight="13.8"/>
  <cols>
    <col min="1" max="1" width="0" style="14" hidden="1" customWidth="1"/>
    <col min="2" max="2" width="19.59765625" style="14" bestFit="1" customWidth="1"/>
    <col min="3" max="3" width="8.09765625" style="14" bestFit="1" customWidth="1"/>
    <col min="4" max="6" width="8.796875" style="14"/>
    <col min="7" max="7" width="22.5" style="14" bestFit="1" customWidth="1"/>
    <col min="8" max="8" width="16.69921875" style="14" bestFit="1" customWidth="1"/>
    <col min="9" max="10" width="8.796875" style="14"/>
    <col min="11" max="11" width="22.296875" style="14" bestFit="1" customWidth="1"/>
    <col min="12" max="12" width="15" style="14" bestFit="1" customWidth="1"/>
    <col min="13" max="17" width="8.796875" style="14"/>
    <col min="18" max="18" width="17.8984375" style="14" bestFit="1" customWidth="1"/>
    <col min="19" max="19" width="15" style="14" bestFit="1" customWidth="1"/>
    <col min="20" max="16384" width="8.796875" style="14"/>
  </cols>
  <sheetData>
    <row r="4" spans="2:19" ht="22.8">
      <c r="B4" s="17"/>
      <c r="C4" s="16"/>
    </row>
    <row r="5" spans="2:19" ht="22.8">
      <c r="B5" s="17"/>
      <c r="C5" s="16"/>
    </row>
    <row r="6" spans="2:19" ht="22.8">
      <c r="D6" s="15" t="s">
        <v>1270</v>
      </c>
      <c r="F6" s="16">
        <f>GETPIVOTDATA("Units_Sold",Sheet1!$AA$36)</f>
        <v>3550</v>
      </c>
      <c r="K6" s="15" t="s">
        <v>1269</v>
      </c>
      <c r="L6" s="16">
        <f>GETPIVOTDATA("Revenue",Sheet1!$AA$28)</f>
        <v>287377.92000000022</v>
      </c>
      <c r="R6" s="15" t="s">
        <v>1271</v>
      </c>
      <c r="S6" s="16">
        <f>GETPIVOTDATA("Profit",Sheet1!$AA$32)</f>
        <v>85069.85000000002</v>
      </c>
    </row>
    <row r="7" spans="2:19" ht="22.8">
      <c r="B7" s="15"/>
      <c r="C7" s="16"/>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Mahdy Abd El Hamed Mahdy</cp:lastModifiedBy>
  <dcterms:created xsi:type="dcterms:W3CDTF">2026-05-16T15:47:08Z</dcterms:created>
  <dcterms:modified xsi:type="dcterms:W3CDTF">2026-06-08T17:01:11Z</dcterms:modified>
</cp:coreProperties>
</file>